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1075\Downloads\"/>
    </mc:Choice>
  </mc:AlternateContent>
  <xr:revisionPtr revIDLastSave="0" documentId="8_{C06075BE-2C2B-4DB9-8F4F-0B56FDA6ECF4}" xr6:coauthVersionLast="47" xr6:coauthVersionMax="47" xr10:uidLastSave="{00000000-0000-0000-0000-000000000000}"/>
  <bookViews>
    <workbookView xWindow="-110" yWindow="-110" windowWidth="19420" windowHeight="10300" activeTab="1" xr2:uid="{DF0BBD7B-FA2F-4FBF-A702-2F383F791E76}"/>
  </bookViews>
  <sheets>
    <sheet name="Non Profilés" sheetId="1" r:id="rId1"/>
    <sheet name="Profilé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D33" i="2"/>
  <c r="E33" i="2"/>
  <c r="F33" i="2"/>
  <c r="G33" i="2"/>
  <c r="H33" i="2"/>
  <c r="I33" i="2"/>
  <c r="J33" i="2"/>
  <c r="K33" i="2"/>
  <c r="C33" i="2"/>
  <c r="D33" i="1"/>
  <c r="E33" i="1"/>
  <c r="F33" i="1"/>
  <c r="G33" i="1"/>
  <c r="H33" i="1"/>
  <c r="I33" i="1"/>
  <c r="J33" i="1"/>
  <c r="C3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L33" i="2" l="1"/>
</calcChain>
</file>

<file path=xl/sharedStrings.xml><?xml version="1.0" encoding="utf-8"?>
<sst xmlns="http://schemas.openxmlformats.org/spreadsheetml/2006/main" count="148" uniqueCount="74">
  <si>
    <t>P013</t>
  </si>
  <si>
    <t>P014</t>
  </si>
  <si>
    <t>P015</t>
  </si>
  <si>
    <t>P016</t>
  </si>
  <si>
    <t>P017</t>
  </si>
  <si>
    <t>P018</t>
  </si>
  <si>
    <t>P019</t>
  </si>
  <si>
    <t>06088001</t>
  </si>
  <si>
    <t>NICE</t>
  </si>
  <si>
    <t>13054001</t>
  </si>
  <si>
    <t>MARIGNANE</t>
  </si>
  <si>
    <t>16089001</t>
  </si>
  <si>
    <t>COGNAC</t>
  </si>
  <si>
    <t>18033001</t>
  </si>
  <si>
    <t>BOURGES</t>
  </si>
  <si>
    <t>21473001</t>
  </si>
  <si>
    <t>DIJON-LONGVIC</t>
  </si>
  <si>
    <t>25056001</t>
  </si>
  <si>
    <t>BESANCON</t>
  </si>
  <si>
    <t>26198001</t>
  </si>
  <si>
    <t>MONTELIMAR</t>
  </si>
  <si>
    <t>29075001</t>
  </si>
  <si>
    <t>BREST-GUIPAVAS</t>
  </si>
  <si>
    <t>30189001</t>
  </si>
  <si>
    <t>NIMES-COURBESSAC</t>
  </si>
  <si>
    <t>31069001</t>
  </si>
  <si>
    <t>TOULOUSE-BLAGNAC</t>
  </si>
  <si>
    <t>33281001</t>
  </si>
  <si>
    <t>BORDEAUX-MERIGNAC</t>
  </si>
  <si>
    <t>35228001</t>
  </si>
  <si>
    <t>DINARD-LE-PLEURTUIT</t>
  </si>
  <si>
    <t>37179001</t>
  </si>
  <si>
    <t>TOURS</t>
  </si>
  <si>
    <t>38384001</t>
  </si>
  <si>
    <t>GRENOBLE-ST-GEOIRS</t>
  </si>
  <si>
    <t>42005001</t>
  </si>
  <si>
    <t>ST-ETIENNE-BOUTHEON</t>
  </si>
  <si>
    <t>44020001</t>
  </si>
  <si>
    <t>NANTES-BOUGUENAIS</t>
  </si>
  <si>
    <t>47091001</t>
  </si>
  <si>
    <t>AGEN</t>
  </si>
  <si>
    <t>51449002</t>
  </si>
  <si>
    <t>REIMS-PRUNAY</t>
  </si>
  <si>
    <t>57039001</t>
  </si>
  <si>
    <t>METZ-FRESCATY</t>
  </si>
  <si>
    <t>59343001</t>
  </si>
  <si>
    <t>LILLE-LESQUIN</t>
  </si>
  <si>
    <t>63113001</t>
  </si>
  <si>
    <t>CLERMONT-FERRAND</t>
  </si>
  <si>
    <t>64024001</t>
  </si>
  <si>
    <t>BIARRITZ-ANGLET</t>
  </si>
  <si>
    <t>64549001</t>
  </si>
  <si>
    <t>PAU-UZEIN</t>
  </si>
  <si>
    <t>66136001</t>
  </si>
  <si>
    <t>PERPIGNAN</t>
  </si>
  <si>
    <t>68297001</t>
  </si>
  <si>
    <t>BALE-MULHOUSE</t>
  </si>
  <si>
    <t>69029001</t>
  </si>
  <si>
    <t>LYON-BRON</t>
  </si>
  <si>
    <t>70473001</t>
  </si>
  <si>
    <t>LUXEUIL</t>
  </si>
  <si>
    <t>73329001</t>
  </si>
  <si>
    <t>CHAMBERY-AIX</t>
  </si>
  <si>
    <t>75114001</t>
  </si>
  <si>
    <t>PARIS-MONTSOURIS</t>
  </si>
  <si>
    <t>76116001</t>
  </si>
  <si>
    <t>ROUEN-BOOS</t>
  </si>
  <si>
    <t>89295001</t>
  </si>
  <si>
    <t>AUXERRE-PERRIGNY</t>
  </si>
  <si>
    <t>Code Station Météo</t>
  </si>
  <si>
    <t>Nom Station Météo</t>
  </si>
  <si>
    <t>Total général</t>
  </si>
  <si>
    <t>P011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</si>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</sst>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2" borderId="0" xfId="0" applyFont="1" applyFill="1"/>
    <xf numFmtId="168" fontId="0" fillId="0" borderId="0" xfId="1" applyNumberFormat="1" applyFont="1"/>
    <xf numFmtId="168" fontId="2" fillId="0" borderId="0" xfId="1" applyNumberFormat="1" applyFont="1"/>
    <xf numFmtId="49" fontId="0" fillId="0" borderId="0" xfId="0" applyNumberFormat="1"/>
    <xf numFmtId="168" fontId="2" fillId="2" borderId="0" xfId="3" applyNumberFormat="1" applyFont="1" applyFill="1"/>
  </cellXfs>
  <cellStyles count="4">
    <cellStyle name="Milliers" xfId="1" builtinId="3"/>
    <cellStyle name="Milliers 2" xfId="3" xr:uid="{A9C40E11-2658-4EFE-954A-5804934D648A}"/>
    <cellStyle name="Milliers 3" xfId="2" xr:uid="{39A67083-19B7-4030-8965-295C7DEE252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6CD9-B8B1-40FF-A9DD-D1332A167024}">
  <dimension ref="A1:J33"/>
  <sheetViews>
    <sheetView topLeftCell="A19" workbookViewId="0">
      <selection activeCell="J33" sqref="J33"/>
    </sheetView>
  </sheetViews>
  <sheetFormatPr baseColWidth="10" defaultRowHeight="14.5" x14ac:dyDescent="0.35"/>
  <cols>
    <col min="1" max="1" width="8.90625" bestFit="1" customWidth="1"/>
    <col min="2" max="2" width="20.54296875" bestFit="1" customWidth="1"/>
    <col min="3" max="3" width="16.81640625" bestFit="1" customWidth="1"/>
    <col min="4" max="4" width="17.81640625" bestFit="1" customWidth="1"/>
    <col min="5" max="9" width="16.81640625" bestFit="1" customWidth="1"/>
    <col min="10" max="10" width="17.81640625" bestFit="1" customWidth="1"/>
  </cols>
  <sheetData>
    <row r="1" spans="1:10" x14ac:dyDescent="0.35">
      <c r="A1" s="2" t="s">
        <v>69</v>
      </c>
      <c r="B1" s="2" t="s">
        <v>70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71</v>
      </c>
    </row>
    <row r="2" spans="1:10" x14ac:dyDescent="0.35">
      <c r="A2" s="1" t="s">
        <v>7</v>
      </c>
      <c r="B2" s="1" t="s">
        <v>8</v>
      </c>
      <c r="C2" s="3">
        <v>50129661</v>
      </c>
      <c r="D2" s="3">
        <v>93300215</v>
      </c>
      <c r="E2" s="3">
        <v>38778868</v>
      </c>
      <c r="F2" s="3">
        <v>21318719</v>
      </c>
      <c r="G2" s="3">
        <v>36978821</v>
      </c>
      <c r="H2" s="3">
        <v>21931614</v>
      </c>
      <c r="I2" s="3">
        <v>7894214</v>
      </c>
      <c r="J2" s="4">
        <f>SUM(C2:I2)</f>
        <v>270332112</v>
      </c>
    </row>
    <row r="3" spans="1:10" x14ac:dyDescent="0.35">
      <c r="A3" s="1" t="s">
        <v>9</v>
      </c>
      <c r="B3" s="1" t="s">
        <v>10</v>
      </c>
      <c r="C3" s="3">
        <v>124474603</v>
      </c>
      <c r="D3" s="3">
        <v>636078074</v>
      </c>
      <c r="E3" s="3">
        <v>73081506</v>
      </c>
      <c r="F3" s="3">
        <v>270071488</v>
      </c>
      <c r="G3" s="3">
        <v>185737822</v>
      </c>
      <c r="H3" s="3">
        <v>164747211</v>
      </c>
      <c r="I3" s="3">
        <v>688449486</v>
      </c>
      <c r="J3" s="4">
        <f t="shared" ref="J3:J33" si="0">SUM(C3:I3)</f>
        <v>2142640190</v>
      </c>
    </row>
    <row r="4" spans="1:10" x14ac:dyDescent="0.35">
      <c r="A4" s="1" t="s">
        <v>11</v>
      </c>
      <c r="B4" s="1" t="s">
        <v>12</v>
      </c>
      <c r="C4" s="3"/>
      <c r="D4" s="3">
        <v>494516934</v>
      </c>
      <c r="E4" s="3">
        <v>101644319</v>
      </c>
      <c r="F4" s="3">
        <v>42062789</v>
      </c>
      <c r="G4" s="3">
        <v>50020045</v>
      </c>
      <c r="H4" s="3">
        <v>78579097</v>
      </c>
      <c r="I4" s="3">
        <v>124674140</v>
      </c>
      <c r="J4" s="4">
        <f t="shared" si="0"/>
        <v>891497324</v>
      </c>
    </row>
    <row r="5" spans="1:10" x14ac:dyDescent="0.35">
      <c r="A5" s="1" t="s">
        <v>13</v>
      </c>
      <c r="B5" s="1" t="s">
        <v>14</v>
      </c>
      <c r="C5" s="3">
        <v>21037085</v>
      </c>
      <c r="D5" s="3">
        <v>226495044</v>
      </c>
      <c r="E5" s="3">
        <v>61195823</v>
      </c>
      <c r="F5" s="3">
        <v>96885046</v>
      </c>
      <c r="G5" s="3">
        <v>35403883</v>
      </c>
      <c r="H5" s="3">
        <v>29811227</v>
      </c>
      <c r="I5" s="3">
        <v>36548673</v>
      </c>
      <c r="J5" s="4">
        <f t="shared" si="0"/>
        <v>507376781</v>
      </c>
    </row>
    <row r="6" spans="1:10" x14ac:dyDescent="0.35">
      <c r="A6" s="1" t="s">
        <v>15</v>
      </c>
      <c r="B6" s="1" t="s">
        <v>16</v>
      </c>
      <c r="C6" s="3">
        <v>2951502</v>
      </c>
      <c r="D6" s="3">
        <v>939074966</v>
      </c>
      <c r="E6" s="3">
        <v>48737116</v>
      </c>
      <c r="F6" s="3">
        <v>131305222</v>
      </c>
      <c r="G6" s="3">
        <v>16126351</v>
      </c>
      <c r="H6" s="3">
        <v>4097262</v>
      </c>
      <c r="I6" s="3">
        <v>339939484</v>
      </c>
      <c r="J6" s="4">
        <f t="shared" si="0"/>
        <v>1482231903</v>
      </c>
    </row>
    <row r="7" spans="1:10" x14ac:dyDescent="0.35">
      <c r="A7" s="1" t="s">
        <v>17</v>
      </c>
      <c r="B7" s="1" t="s">
        <v>18</v>
      </c>
      <c r="C7" s="3">
        <v>30528380</v>
      </c>
      <c r="D7" s="3">
        <v>105285787</v>
      </c>
      <c r="E7" s="3">
        <v>16372479</v>
      </c>
      <c r="F7" s="3">
        <v>23624989</v>
      </c>
      <c r="G7" s="3"/>
      <c r="H7" s="3"/>
      <c r="I7" s="3"/>
      <c r="J7" s="4">
        <f t="shared" si="0"/>
        <v>175811635</v>
      </c>
    </row>
    <row r="8" spans="1:10" x14ac:dyDescent="0.35">
      <c r="A8" s="1" t="s">
        <v>19</v>
      </c>
      <c r="B8" s="1" t="s">
        <v>20</v>
      </c>
      <c r="C8" s="3">
        <v>17539103</v>
      </c>
      <c r="D8" s="3">
        <v>627678813</v>
      </c>
      <c r="E8" s="3">
        <v>28066821</v>
      </c>
      <c r="F8" s="3">
        <v>72386460</v>
      </c>
      <c r="G8" s="3"/>
      <c r="H8" s="3">
        <v>30742575</v>
      </c>
      <c r="I8" s="3">
        <v>27721439</v>
      </c>
      <c r="J8" s="4">
        <f t="shared" si="0"/>
        <v>804135211</v>
      </c>
    </row>
    <row r="9" spans="1:10" x14ac:dyDescent="0.35">
      <c r="A9" s="1" t="s">
        <v>21</v>
      </c>
      <c r="B9" s="1" t="s">
        <v>22</v>
      </c>
      <c r="C9" s="3">
        <v>36622673</v>
      </c>
      <c r="D9" s="3">
        <v>438955285</v>
      </c>
      <c r="E9" s="3">
        <v>36171458</v>
      </c>
      <c r="F9" s="3">
        <v>679963473</v>
      </c>
      <c r="G9" s="3">
        <v>490295480</v>
      </c>
      <c r="H9" s="3">
        <v>196708368</v>
      </c>
      <c r="I9" s="3">
        <v>91029643</v>
      </c>
      <c r="J9" s="4">
        <f t="shared" si="0"/>
        <v>1969746380</v>
      </c>
    </row>
    <row r="10" spans="1:10" x14ac:dyDescent="0.35">
      <c r="A10" s="1" t="s">
        <v>23</v>
      </c>
      <c r="B10" s="1" t="s">
        <v>24</v>
      </c>
      <c r="C10" s="3">
        <v>56210812</v>
      </c>
      <c r="D10" s="3">
        <v>182692368</v>
      </c>
      <c r="E10" s="3">
        <v>87856087</v>
      </c>
      <c r="F10" s="3">
        <v>47547758</v>
      </c>
      <c r="G10" s="3">
        <v>57416382</v>
      </c>
      <c r="H10" s="3">
        <v>30508028</v>
      </c>
      <c r="I10" s="3">
        <v>138925185</v>
      </c>
      <c r="J10" s="4">
        <f t="shared" si="0"/>
        <v>601156620</v>
      </c>
    </row>
    <row r="11" spans="1:10" x14ac:dyDescent="0.35">
      <c r="A11" s="1" t="s">
        <v>25</v>
      </c>
      <c r="B11" s="1" t="s">
        <v>26</v>
      </c>
      <c r="C11" s="3">
        <v>69901399</v>
      </c>
      <c r="D11" s="3">
        <v>296262885</v>
      </c>
      <c r="E11" s="3">
        <v>57016811</v>
      </c>
      <c r="F11" s="3">
        <v>26628510</v>
      </c>
      <c r="G11" s="3">
        <v>44097508</v>
      </c>
      <c r="H11" s="3">
        <v>5287860</v>
      </c>
      <c r="I11" s="3">
        <v>75321985</v>
      </c>
      <c r="J11" s="4">
        <f t="shared" si="0"/>
        <v>574516958</v>
      </c>
    </row>
    <row r="12" spans="1:10" x14ac:dyDescent="0.35">
      <c r="A12" s="1" t="s">
        <v>27</v>
      </c>
      <c r="B12" s="1" t="s">
        <v>28</v>
      </c>
      <c r="C12" s="3">
        <v>1691091</v>
      </c>
      <c r="D12" s="3">
        <v>97472667</v>
      </c>
      <c r="E12" s="3">
        <v>19452163</v>
      </c>
      <c r="F12" s="3">
        <v>58192496</v>
      </c>
      <c r="G12" s="3">
        <v>6408591</v>
      </c>
      <c r="H12" s="3">
        <v>18733150</v>
      </c>
      <c r="I12" s="3">
        <v>14608165</v>
      </c>
      <c r="J12" s="4">
        <f t="shared" si="0"/>
        <v>216558323</v>
      </c>
    </row>
    <row r="13" spans="1:10" x14ac:dyDescent="0.35">
      <c r="A13" s="1" t="s">
        <v>29</v>
      </c>
      <c r="B13" s="1" t="s">
        <v>30</v>
      </c>
      <c r="C13" s="3">
        <v>284853446</v>
      </c>
      <c r="D13" s="3">
        <v>2960532763</v>
      </c>
      <c r="E13" s="3">
        <v>310772157</v>
      </c>
      <c r="F13" s="3">
        <v>422503697</v>
      </c>
      <c r="G13" s="3">
        <v>530181576</v>
      </c>
      <c r="H13" s="3">
        <v>262555552</v>
      </c>
      <c r="I13" s="3">
        <v>427210876</v>
      </c>
      <c r="J13" s="4">
        <f t="shared" si="0"/>
        <v>5198610067</v>
      </c>
    </row>
    <row r="14" spans="1:10" x14ac:dyDescent="0.35">
      <c r="A14" s="1" t="s">
        <v>31</v>
      </c>
      <c r="B14" s="1" t="s">
        <v>32</v>
      </c>
      <c r="C14" s="3">
        <v>49653043</v>
      </c>
      <c r="D14" s="3">
        <v>1080936682</v>
      </c>
      <c r="E14" s="3">
        <v>88264604</v>
      </c>
      <c r="F14" s="3">
        <v>210412894</v>
      </c>
      <c r="G14" s="3">
        <v>151755515</v>
      </c>
      <c r="H14" s="3">
        <v>224507369</v>
      </c>
      <c r="I14" s="3">
        <v>216797754</v>
      </c>
      <c r="J14" s="4">
        <f t="shared" si="0"/>
        <v>2022327861</v>
      </c>
    </row>
    <row r="15" spans="1:10" x14ac:dyDescent="0.35">
      <c r="A15" s="1" t="s">
        <v>33</v>
      </c>
      <c r="B15" s="1" t="s">
        <v>34</v>
      </c>
      <c r="C15" s="3">
        <v>71334817</v>
      </c>
      <c r="D15" s="3">
        <v>271716966</v>
      </c>
      <c r="E15" s="3">
        <v>127991965</v>
      </c>
      <c r="F15" s="3">
        <v>50305362</v>
      </c>
      <c r="G15" s="3">
        <v>9443746</v>
      </c>
      <c r="H15" s="3">
        <v>8041963</v>
      </c>
      <c r="I15" s="3">
        <v>6399089</v>
      </c>
      <c r="J15" s="4">
        <f t="shared" si="0"/>
        <v>545233908</v>
      </c>
    </row>
    <row r="16" spans="1:10" x14ac:dyDescent="0.35">
      <c r="A16" s="1" t="s">
        <v>35</v>
      </c>
      <c r="B16" s="1" t="s">
        <v>36</v>
      </c>
      <c r="C16" s="3">
        <v>30190072</v>
      </c>
      <c r="D16" s="3">
        <v>545212711</v>
      </c>
      <c r="E16" s="3">
        <v>85094088</v>
      </c>
      <c r="F16" s="3">
        <v>82352463</v>
      </c>
      <c r="G16" s="3">
        <v>75872223</v>
      </c>
      <c r="H16" s="3">
        <v>31787775</v>
      </c>
      <c r="I16" s="3">
        <v>110730368</v>
      </c>
      <c r="J16" s="4">
        <f t="shared" si="0"/>
        <v>961239700</v>
      </c>
    </row>
    <row r="17" spans="1:10" x14ac:dyDescent="0.35">
      <c r="A17" s="1" t="s">
        <v>37</v>
      </c>
      <c r="B17" s="1" t="s">
        <v>38</v>
      </c>
      <c r="C17" s="3">
        <v>83976049</v>
      </c>
      <c r="D17" s="3">
        <v>1351607863</v>
      </c>
      <c r="E17" s="3">
        <v>105098889</v>
      </c>
      <c r="F17" s="3">
        <v>315571539</v>
      </c>
      <c r="G17" s="3">
        <v>630200833</v>
      </c>
      <c r="H17" s="3">
        <v>401759860</v>
      </c>
      <c r="I17" s="3">
        <v>328717564</v>
      </c>
      <c r="J17" s="4">
        <f t="shared" si="0"/>
        <v>3216932597</v>
      </c>
    </row>
    <row r="18" spans="1:10" x14ac:dyDescent="0.35">
      <c r="A18" s="1" t="s">
        <v>39</v>
      </c>
      <c r="B18" s="1" t="s">
        <v>40</v>
      </c>
      <c r="C18" s="3">
        <v>36142167</v>
      </c>
      <c r="D18" s="3">
        <v>335682908</v>
      </c>
      <c r="E18" s="3">
        <v>41348762</v>
      </c>
      <c r="F18" s="3">
        <v>49919327</v>
      </c>
      <c r="G18" s="3">
        <v>22031203</v>
      </c>
      <c r="H18" s="3">
        <v>234959778</v>
      </c>
      <c r="I18" s="3">
        <v>63712740</v>
      </c>
      <c r="J18" s="4">
        <f t="shared" si="0"/>
        <v>783796885</v>
      </c>
    </row>
    <row r="19" spans="1:10" x14ac:dyDescent="0.35">
      <c r="A19" s="1" t="s">
        <v>41</v>
      </c>
      <c r="B19" s="1" t="s">
        <v>42</v>
      </c>
      <c r="C19" s="3">
        <v>307718754</v>
      </c>
      <c r="D19" s="3">
        <v>652598590</v>
      </c>
      <c r="E19" s="3">
        <v>112087838</v>
      </c>
      <c r="F19" s="3">
        <v>243057023</v>
      </c>
      <c r="G19" s="3">
        <v>26093725</v>
      </c>
      <c r="H19" s="3">
        <v>34048634</v>
      </c>
      <c r="I19" s="3">
        <v>121897169</v>
      </c>
      <c r="J19" s="4">
        <f t="shared" si="0"/>
        <v>1497501733</v>
      </c>
    </row>
    <row r="20" spans="1:10" x14ac:dyDescent="0.35">
      <c r="A20" s="1" t="s">
        <v>43</v>
      </c>
      <c r="B20" s="1" t="s">
        <v>44</v>
      </c>
      <c r="C20" s="3">
        <v>100896221</v>
      </c>
      <c r="D20" s="3">
        <v>1046527550</v>
      </c>
      <c r="E20" s="3">
        <v>149608133</v>
      </c>
      <c r="F20" s="3">
        <v>253548452</v>
      </c>
      <c r="G20" s="3">
        <v>79827557</v>
      </c>
      <c r="H20" s="3">
        <v>148084963</v>
      </c>
      <c r="I20" s="3">
        <v>559054142</v>
      </c>
      <c r="J20" s="4">
        <f t="shared" si="0"/>
        <v>2337547018</v>
      </c>
    </row>
    <row r="21" spans="1:10" x14ac:dyDescent="0.35">
      <c r="A21" s="1" t="s">
        <v>45</v>
      </c>
      <c r="B21" s="1" t="s">
        <v>46</v>
      </c>
      <c r="C21" s="3">
        <v>1029079376</v>
      </c>
      <c r="D21" s="3">
        <v>3359594200</v>
      </c>
      <c r="E21" s="3">
        <v>1368975280</v>
      </c>
      <c r="F21" s="3">
        <v>430309015</v>
      </c>
      <c r="G21" s="3">
        <v>164043078</v>
      </c>
      <c r="H21" s="3">
        <v>302230497</v>
      </c>
      <c r="I21" s="3">
        <v>609377470</v>
      </c>
      <c r="J21" s="4">
        <f t="shared" si="0"/>
        <v>7263608916</v>
      </c>
    </row>
    <row r="22" spans="1:10" x14ac:dyDescent="0.35">
      <c r="A22" s="1" t="s">
        <v>47</v>
      </c>
      <c r="B22" s="1" t="s">
        <v>48</v>
      </c>
      <c r="C22" s="3">
        <v>32496388</v>
      </c>
      <c r="D22" s="3">
        <v>403865395</v>
      </c>
      <c r="E22" s="3">
        <v>105545660</v>
      </c>
      <c r="F22" s="3">
        <v>62695330</v>
      </c>
      <c r="G22" s="3">
        <v>6956753</v>
      </c>
      <c r="H22" s="3">
        <v>42721647</v>
      </c>
      <c r="I22" s="3">
        <v>15407826</v>
      </c>
      <c r="J22" s="4">
        <f t="shared" si="0"/>
        <v>669688999</v>
      </c>
    </row>
    <row r="23" spans="1:10" x14ac:dyDescent="0.35">
      <c r="A23" s="1" t="s">
        <v>49</v>
      </c>
      <c r="B23" s="1" t="s">
        <v>50</v>
      </c>
      <c r="C23" s="3">
        <v>34035877</v>
      </c>
      <c r="D23" s="3">
        <v>306200490</v>
      </c>
      <c r="E23" s="3">
        <v>32766836</v>
      </c>
      <c r="F23" s="3">
        <v>11703806</v>
      </c>
      <c r="G23" s="3">
        <v>4301497</v>
      </c>
      <c r="H23" s="3"/>
      <c r="I23" s="3"/>
      <c r="J23" s="4">
        <f t="shared" si="0"/>
        <v>389008506</v>
      </c>
    </row>
    <row r="24" spans="1:10" x14ac:dyDescent="0.35">
      <c r="A24" s="1" t="s">
        <v>51</v>
      </c>
      <c r="B24" s="1" t="s">
        <v>52</v>
      </c>
      <c r="C24" s="3">
        <v>75103917</v>
      </c>
      <c r="D24" s="3">
        <v>117452571</v>
      </c>
      <c r="E24" s="3">
        <v>5923614</v>
      </c>
      <c r="F24" s="3">
        <v>18100651</v>
      </c>
      <c r="G24" s="3">
        <v>5472341</v>
      </c>
      <c r="H24" s="3">
        <v>15212758</v>
      </c>
      <c r="I24" s="3"/>
      <c r="J24" s="4">
        <f t="shared" si="0"/>
        <v>237265852</v>
      </c>
    </row>
    <row r="25" spans="1:10" x14ac:dyDescent="0.35">
      <c r="A25" s="1" t="s">
        <v>53</v>
      </c>
      <c r="B25" s="1" t="s">
        <v>54</v>
      </c>
      <c r="C25" s="3">
        <v>40040228</v>
      </c>
      <c r="D25" s="3">
        <v>69281648</v>
      </c>
      <c r="E25" s="3">
        <v>19867628</v>
      </c>
      <c r="F25" s="3">
        <v>20386956</v>
      </c>
      <c r="G25" s="3">
        <v>24026953</v>
      </c>
      <c r="H25" s="3"/>
      <c r="I25" s="3">
        <v>68154539</v>
      </c>
      <c r="J25" s="4">
        <f t="shared" si="0"/>
        <v>241757952</v>
      </c>
    </row>
    <row r="26" spans="1:10" x14ac:dyDescent="0.35">
      <c r="A26" s="1" t="s">
        <v>55</v>
      </c>
      <c r="B26" s="1" t="s">
        <v>56</v>
      </c>
      <c r="C26" s="3">
        <v>46589725</v>
      </c>
      <c r="D26" s="3">
        <v>458567381</v>
      </c>
      <c r="E26" s="3">
        <v>64192806</v>
      </c>
      <c r="F26" s="3">
        <v>83205603</v>
      </c>
      <c r="G26" s="3">
        <v>10938473</v>
      </c>
      <c r="H26" s="3">
        <v>41748884</v>
      </c>
      <c r="I26" s="3">
        <v>3504668</v>
      </c>
      <c r="J26" s="4">
        <f t="shared" si="0"/>
        <v>708747540</v>
      </c>
    </row>
    <row r="27" spans="1:10" x14ac:dyDescent="0.35">
      <c r="A27" s="1" t="s">
        <v>57</v>
      </c>
      <c r="B27" s="1" t="s">
        <v>58</v>
      </c>
      <c r="C27" s="3">
        <v>110078566</v>
      </c>
      <c r="D27" s="3">
        <v>821267659</v>
      </c>
      <c r="E27" s="3">
        <v>246550306</v>
      </c>
      <c r="F27" s="3">
        <v>174806007</v>
      </c>
      <c r="G27" s="3">
        <v>90460638</v>
      </c>
      <c r="H27" s="3">
        <v>306497407</v>
      </c>
      <c r="I27" s="3">
        <v>561957657</v>
      </c>
      <c r="J27" s="4">
        <f t="shared" si="0"/>
        <v>2311618240</v>
      </c>
    </row>
    <row r="28" spans="1:10" x14ac:dyDescent="0.35">
      <c r="A28" s="1" t="s">
        <v>59</v>
      </c>
      <c r="B28" s="1" t="s">
        <v>60</v>
      </c>
      <c r="C28" s="3">
        <v>12293082</v>
      </c>
      <c r="D28" s="3">
        <v>110951174</v>
      </c>
      <c r="E28" s="3">
        <v>8454288</v>
      </c>
      <c r="F28" s="3">
        <v>41828421</v>
      </c>
      <c r="G28" s="3">
        <v>1934183</v>
      </c>
      <c r="H28" s="3">
        <v>50939461</v>
      </c>
      <c r="I28" s="3">
        <v>76149228</v>
      </c>
      <c r="J28" s="4">
        <f t="shared" si="0"/>
        <v>302549837</v>
      </c>
    </row>
    <row r="29" spans="1:10" x14ac:dyDescent="0.35">
      <c r="A29" s="1" t="s">
        <v>61</v>
      </c>
      <c r="B29" s="1" t="s">
        <v>62</v>
      </c>
      <c r="C29" s="3">
        <v>180121545</v>
      </c>
      <c r="D29" s="3">
        <v>146704004</v>
      </c>
      <c r="E29" s="3">
        <v>48206768</v>
      </c>
      <c r="F29" s="3">
        <v>63476016</v>
      </c>
      <c r="G29" s="3">
        <v>31816612</v>
      </c>
      <c r="H29" s="3">
        <v>80473657</v>
      </c>
      <c r="I29" s="3">
        <v>10366347</v>
      </c>
      <c r="J29" s="4">
        <f t="shared" si="0"/>
        <v>561164949</v>
      </c>
    </row>
    <row r="30" spans="1:10" x14ac:dyDescent="0.35">
      <c r="A30" s="1" t="s">
        <v>63</v>
      </c>
      <c r="B30" s="1" t="s">
        <v>64</v>
      </c>
      <c r="C30" s="3">
        <v>433580263</v>
      </c>
      <c r="D30" s="3">
        <v>1700762751</v>
      </c>
      <c r="E30" s="3">
        <v>421670485</v>
      </c>
      <c r="F30" s="3">
        <v>987348634</v>
      </c>
      <c r="G30" s="3">
        <v>535435353</v>
      </c>
      <c r="H30" s="3">
        <v>1443150220</v>
      </c>
      <c r="I30" s="3">
        <v>982066538</v>
      </c>
      <c r="J30" s="4">
        <f t="shared" si="0"/>
        <v>6504014244</v>
      </c>
    </row>
    <row r="31" spans="1:10" x14ac:dyDescent="0.35">
      <c r="A31" s="1" t="s">
        <v>65</v>
      </c>
      <c r="B31" s="1" t="s">
        <v>66</v>
      </c>
      <c r="C31" s="3">
        <v>120289462</v>
      </c>
      <c r="D31" s="3">
        <v>1788316390</v>
      </c>
      <c r="E31" s="3">
        <v>250198956</v>
      </c>
      <c r="F31" s="3">
        <v>622997698</v>
      </c>
      <c r="G31" s="3">
        <v>61620113</v>
      </c>
      <c r="H31" s="3">
        <v>148703372</v>
      </c>
      <c r="I31" s="3">
        <v>160827357</v>
      </c>
      <c r="J31" s="4">
        <f t="shared" si="0"/>
        <v>3152953348</v>
      </c>
    </row>
    <row r="32" spans="1:10" x14ac:dyDescent="0.35">
      <c r="A32" s="1" t="s">
        <v>67</v>
      </c>
      <c r="B32" s="1" t="s">
        <v>68</v>
      </c>
      <c r="C32" s="3">
        <v>90400313</v>
      </c>
      <c r="D32" s="3">
        <v>711196219</v>
      </c>
      <c r="E32" s="3">
        <v>198482625</v>
      </c>
      <c r="F32" s="3">
        <v>189650227</v>
      </c>
      <c r="G32" s="3">
        <v>30270167</v>
      </c>
      <c r="H32" s="3">
        <v>42328386</v>
      </c>
      <c r="I32" s="3">
        <v>149696137</v>
      </c>
      <c r="J32" s="4">
        <f t="shared" si="0"/>
        <v>1412024074</v>
      </c>
    </row>
    <row r="33" spans="2:10" x14ac:dyDescent="0.35">
      <c r="B33" s="2" t="s">
        <v>71</v>
      </c>
      <c r="C33" s="4">
        <f>SUM(C2:C32)</f>
        <v>3579959620</v>
      </c>
      <c r="D33" s="4">
        <f t="shared" ref="D33:J33" si="1">SUM(D2:D32)</f>
        <v>22376788953</v>
      </c>
      <c r="E33" s="4">
        <f t="shared" si="1"/>
        <v>4359475139</v>
      </c>
      <c r="F33" s="4">
        <f t="shared" si="1"/>
        <v>5804166071</v>
      </c>
      <c r="G33" s="4">
        <f t="shared" si="1"/>
        <v>3415167422</v>
      </c>
      <c r="H33" s="4">
        <f t="shared" si="1"/>
        <v>4400898575</v>
      </c>
      <c r="I33" s="4">
        <f t="shared" si="1"/>
        <v>6017139883</v>
      </c>
      <c r="J33" s="4">
        <f t="shared" si="1"/>
        <v>49953595663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E66-E7E0-47D8-9988-A5F7D15E6D53}">
  <dimension ref="A1:L33"/>
  <sheetViews>
    <sheetView tabSelected="1" topLeftCell="A22" zoomScale="85" zoomScaleNormal="85" workbookViewId="0">
      <selection activeCell="L33" sqref="L33"/>
    </sheetView>
  </sheetViews>
  <sheetFormatPr baseColWidth="10" defaultRowHeight="14.5" x14ac:dyDescent="0.35"/>
  <cols>
    <col min="1" max="1" width="17.54296875" bestFit="1" customWidth="1"/>
    <col min="2" max="2" width="21.1796875" bestFit="1" customWidth="1"/>
    <col min="3" max="3" width="14.1796875" bestFit="1" customWidth="1"/>
    <col min="4" max="4" width="16" bestFit="1" customWidth="1"/>
    <col min="5" max="5" width="13.90625" bestFit="1" customWidth="1"/>
    <col min="6" max="6" width="14.1796875" bestFit="1" customWidth="1"/>
    <col min="7" max="7" width="13.90625" bestFit="1" customWidth="1"/>
    <col min="8" max="10" width="15" bestFit="1" customWidth="1"/>
    <col min="11" max="11" width="14.1796875" bestFit="1" customWidth="1"/>
    <col min="12" max="12" width="16" bestFit="1" customWidth="1"/>
  </cols>
  <sheetData>
    <row r="1" spans="1:12" x14ac:dyDescent="0.35">
      <c r="A1" s="2" t="s">
        <v>69</v>
      </c>
      <c r="B1" s="2" t="s">
        <v>70</v>
      </c>
      <c r="C1" s="2" t="s">
        <v>72</v>
      </c>
      <c r="D1" s="2" t="s">
        <v>73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6" t="s">
        <v>71</v>
      </c>
    </row>
    <row r="2" spans="1:12" x14ac:dyDescent="0.35">
      <c r="A2" s="5" t="s">
        <v>7</v>
      </c>
      <c r="B2" s="5" t="s">
        <v>8</v>
      </c>
      <c r="C2" s="3">
        <v>120353885</v>
      </c>
      <c r="D2" s="3">
        <v>1727096814</v>
      </c>
      <c r="E2" s="3">
        <v>61874135</v>
      </c>
      <c r="F2" s="3">
        <v>159288886</v>
      </c>
      <c r="G2" s="3">
        <v>78996540</v>
      </c>
      <c r="H2" s="3">
        <v>511912837</v>
      </c>
      <c r="I2" s="3">
        <v>826898171</v>
      </c>
      <c r="J2" s="3">
        <v>181839238</v>
      </c>
      <c r="K2" s="3">
        <v>308100550</v>
      </c>
      <c r="L2" s="4">
        <f>SUM(C2:K2)</f>
        <v>3976361056</v>
      </c>
    </row>
    <row r="3" spans="1:12" x14ac:dyDescent="0.35">
      <c r="A3" s="5" t="s">
        <v>9</v>
      </c>
      <c r="B3" s="5" t="s">
        <v>10</v>
      </c>
      <c r="C3" s="3">
        <v>304679072</v>
      </c>
      <c r="D3" s="3">
        <v>3665142811</v>
      </c>
      <c r="E3" s="3">
        <v>182112920</v>
      </c>
      <c r="F3" s="3">
        <v>302678358</v>
      </c>
      <c r="G3" s="3">
        <v>112600103</v>
      </c>
      <c r="H3" s="3">
        <v>690967717</v>
      </c>
      <c r="I3" s="3">
        <v>915484189</v>
      </c>
      <c r="J3" s="3">
        <v>419750264</v>
      </c>
      <c r="K3" s="3">
        <v>940699959</v>
      </c>
      <c r="L3" s="4">
        <f t="shared" ref="L3:L32" si="0">SUM(C3:K3)</f>
        <v>7534115393</v>
      </c>
    </row>
    <row r="4" spans="1:12" x14ac:dyDescent="0.35">
      <c r="A4" s="5" t="s">
        <v>11</v>
      </c>
      <c r="B4" s="5" t="s">
        <v>12</v>
      </c>
      <c r="C4" s="3">
        <v>96139750</v>
      </c>
      <c r="D4" s="3">
        <v>2666538744</v>
      </c>
      <c r="E4" s="3">
        <v>148591838</v>
      </c>
      <c r="F4" s="3">
        <v>158874766</v>
      </c>
      <c r="G4" s="3">
        <v>87620641</v>
      </c>
      <c r="H4" s="3">
        <v>333008000</v>
      </c>
      <c r="I4" s="3">
        <v>196278798</v>
      </c>
      <c r="J4" s="3">
        <v>285563903</v>
      </c>
      <c r="K4" s="3">
        <v>232254209</v>
      </c>
      <c r="L4" s="4">
        <f t="shared" si="0"/>
        <v>4204870649</v>
      </c>
    </row>
    <row r="5" spans="1:12" x14ac:dyDescent="0.35">
      <c r="A5" s="5" t="s">
        <v>13</v>
      </c>
      <c r="B5" s="5" t="s">
        <v>14</v>
      </c>
      <c r="C5" s="3">
        <v>43082060</v>
      </c>
      <c r="D5" s="3">
        <v>1549328617</v>
      </c>
      <c r="E5" s="3">
        <v>81165290</v>
      </c>
      <c r="F5" s="3">
        <v>147574188</v>
      </c>
      <c r="G5" s="3">
        <v>28951770</v>
      </c>
      <c r="H5" s="3">
        <v>199253088</v>
      </c>
      <c r="I5" s="3">
        <v>123891670</v>
      </c>
      <c r="J5" s="3">
        <v>131887188</v>
      </c>
      <c r="K5" s="3">
        <v>102706863</v>
      </c>
      <c r="L5" s="4">
        <f t="shared" si="0"/>
        <v>2407840734</v>
      </c>
    </row>
    <row r="6" spans="1:12" x14ac:dyDescent="0.35">
      <c r="A6" s="5" t="s">
        <v>15</v>
      </c>
      <c r="B6" s="5" t="s">
        <v>16</v>
      </c>
      <c r="C6" s="3">
        <v>83442717</v>
      </c>
      <c r="D6" s="3">
        <v>2435641371</v>
      </c>
      <c r="E6" s="3">
        <v>122312550</v>
      </c>
      <c r="F6" s="3">
        <v>115755634</v>
      </c>
      <c r="G6" s="3">
        <v>75478353</v>
      </c>
      <c r="H6" s="3">
        <v>291030727</v>
      </c>
      <c r="I6" s="3">
        <v>185872324</v>
      </c>
      <c r="J6" s="3">
        <v>228942766</v>
      </c>
      <c r="K6" s="3">
        <v>134394223</v>
      </c>
      <c r="L6" s="4">
        <f t="shared" si="0"/>
        <v>3672870665</v>
      </c>
    </row>
    <row r="7" spans="1:12" x14ac:dyDescent="0.35">
      <c r="A7" s="5" t="s">
        <v>17</v>
      </c>
      <c r="B7" s="5" t="s">
        <v>18</v>
      </c>
      <c r="C7" s="3">
        <v>27291948</v>
      </c>
      <c r="D7" s="3">
        <v>723851892</v>
      </c>
      <c r="E7" s="3">
        <v>37553516</v>
      </c>
      <c r="F7" s="3">
        <v>64049086</v>
      </c>
      <c r="G7" s="3">
        <v>36974704</v>
      </c>
      <c r="H7" s="3">
        <v>178799627</v>
      </c>
      <c r="I7" s="3">
        <v>130703007</v>
      </c>
      <c r="J7" s="3">
        <v>101931447</v>
      </c>
      <c r="K7" s="3">
        <v>31103327</v>
      </c>
      <c r="L7" s="4">
        <f t="shared" si="0"/>
        <v>1332258554</v>
      </c>
    </row>
    <row r="8" spans="1:12" x14ac:dyDescent="0.35">
      <c r="A8" s="5" t="s">
        <v>19</v>
      </c>
      <c r="B8" s="5" t="s">
        <v>20</v>
      </c>
      <c r="C8" s="3">
        <v>43780612</v>
      </c>
      <c r="D8" s="3">
        <v>922698421</v>
      </c>
      <c r="E8" s="3">
        <v>99154385</v>
      </c>
      <c r="F8" s="3">
        <v>146415246</v>
      </c>
      <c r="G8" s="3">
        <v>42946221</v>
      </c>
      <c r="H8" s="3">
        <v>125505049</v>
      </c>
      <c r="I8" s="3">
        <v>131909336</v>
      </c>
      <c r="J8" s="3">
        <v>78914083</v>
      </c>
      <c r="K8" s="3">
        <v>172798657</v>
      </c>
      <c r="L8" s="4">
        <f t="shared" si="0"/>
        <v>1764122010</v>
      </c>
    </row>
    <row r="9" spans="1:12" x14ac:dyDescent="0.35">
      <c r="A9" s="5" t="s">
        <v>21</v>
      </c>
      <c r="B9" s="5" t="s">
        <v>22</v>
      </c>
      <c r="C9" s="3">
        <v>75522265</v>
      </c>
      <c r="D9" s="3">
        <v>1098912222</v>
      </c>
      <c r="E9" s="3">
        <v>70627204</v>
      </c>
      <c r="F9" s="3">
        <v>227875508</v>
      </c>
      <c r="G9" s="3">
        <v>64728998</v>
      </c>
      <c r="H9" s="3">
        <v>194861338</v>
      </c>
      <c r="I9" s="3">
        <v>58120329</v>
      </c>
      <c r="J9" s="3">
        <v>78725388</v>
      </c>
      <c r="K9" s="3">
        <v>76306309</v>
      </c>
      <c r="L9" s="4">
        <f t="shared" si="0"/>
        <v>1945679561</v>
      </c>
    </row>
    <row r="10" spans="1:12" x14ac:dyDescent="0.35">
      <c r="A10" s="5" t="s">
        <v>23</v>
      </c>
      <c r="B10" s="5" t="s">
        <v>24</v>
      </c>
      <c r="C10" s="3">
        <v>147524728</v>
      </c>
      <c r="D10" s="3">
        <v>2200174872</v>
      </c>
      <c r="E10" s="3">
        <v>91945851</v>
      </c>
      <c r="F10" s="3">
        <v>180735812</v>
      </c>
      <c r="G10" s="3">
        <v>36597510</v>
      </c>
      <c r="H10" s="3">
        <v>265587785</v>
      </c>
      <c r="I10" s="3">
        <v>160441036</v>
      </c>
      <c r="J10" s="3">
        <v>196924705</v>
      </c>
      <c r="K10" s="3">
        <v>214930405</v>
      </c>
      <c r="L10" s="4">
        <f t="shared" si="0"/>
        <v>3494862704</v>
      </c>
    </row>
    <row r="11" spans="1:12" x14ac:dyDescent="0.35">
      <c r="A11" s="5" t="s">
        <v>25</v>
      </c>
      <c r="B11" s="5" t="s">
        <v>26</v>
      </c>
      <c r="C11" s="3">
        <v>204322458</v>
      </c>
      <c r="D11" s="3">
        <v>3067161163</v>
      </c>
      <c r="E11" s="3">
        <v>102843413</v>
      </c>
      <c r="F11" s="3">
        <v>192518863</v>
      </c>
      <c r="G11" s="3">
        <v>80069549</v>
      </c>
      <c r="H11" s="3">
        <v>357043054</v>
      </c>
      <c r="I11" s="3">
        <v>234486150</v>
      </c>
      <c r="J11" s="3">
        <v>244410069</v>
      </c>
      <c r="K11" s="3">
        <v>306371445</v>
      </c>
      <c r="L11" s="4">
        <f t="shared" si="0"/>
        <v>4789226164</v>
      </c>
    </row>
    <row r="12" spans="1:12" x14ac:dyDescent="0.35">
      <c r="A12" s="5" t="s">
        <v>27</v>
      </c>
      <c r="B12" s="5" t="s">
        <v>28</v>
      </c>
      <c r="C12" s="3">
        <v>51274248</v>
      </c>
      <c r="D12" s="3">
        <v>1218127951</v>
      </c>
      <c r="E12" s="3">
        <v>29031547</v>
      </c>
      <c r="F12" s="3">
        <v>80875160</v>
      </c>
      <c r="G12" s="3">
        <v>29362837</v>
      </c>
      <c r="H12" s="3">
        <v>90200868</v>
      </c>
      <c r="I12" s="3">
        <v>42820078</v>
      </c>
      <c r="J12" s="3">
        <v>34829238</v>
      </c>
      <c r="K12" s="3">
        <v>59419926</v>
      </c>
      <c r="L12" s="4">
        <f t="shared" si="0"/>
        <v>1635941853</v>
      </c>
    </row>
    <row r="13" spans="1:12" x14ac:dyDescent="0.35">
      <c r="A13" s="5" t="s">
        <v>29</v>
      </c>
      <c r="B13" s="5" t="s">
        <v>30</v>
      </c>
      <c r="C13" s="3">
        <v>277517271</v>
      </c>
      <c r="D13" s="3">
        <v>5264337438</v>
      </c>
      <c r="E13" s="3">
        <v>372395942</v>
      </c>
      <c r="F13" s="3">
        <v>658883551</v>
      </c>
      <c r="G13" s="3">
        <v>310608653</v>
      </c>
      <c r="H13" s="3">
        <v>903789618</v>
      </c>
      <c r="I13" s="3">
        <v>366452754</v>
      </c>
      <c r="J13" s="3">
        <v>479478462</v>
      </c>
      <c r="K13" s="3">
        <v>262192275</v>
      </c>
      <c r="L13" s="4">
        <f t="shared" si="0"/>
        <v>8895655964</v>
      </c>
    </row>
    <row r="14" spans="1:12" x14ac:dyDescent="0.35">
      <c r="A14" s="5" t="s">
        <v>31</v>
      </c>
      <c r="B14" s="5" t="s">
        <v>32</v>
      </c>
      <c r="C14" s="3">
        <v>173755085</v>
      </c>
      <c r="D14" s="3">
        <v>4210905848</v>
      </c>
      <c r="E14" s="3">
        <v>239895594</v>
      </c>
      <c r="F14" s="3">
        <v>381859986</v>
      </c>
      <c r="G14" s="3">
        <v>177888294</v>
      </c>
      <c r="H14" s="3">
        <v>706721720</v>
      </c>
      <c r="I14" s="3">
        <v>421556432</v>
      </c>
      <c r="J14" s="3">
        <v>455160462</v>
      </c>
      <c r="K14" s="3">
        <v>364785814</v>
      </c>
      <c r="L14" s="4">
        <f t="shared" si="0"/>
        <v>7132529235</v>
      </c>
    </row>
    <row r="15" spans="1:12" x14ac:dyDescent="0.35">
      <c r="A15" s="5" t="s">
        <v>33</v>
      </c>
      <c r="B15" s="5" t="s">
        <v>34</v>
      </c>
      <c r="C15" s="3">
        <v>64490713</v>
      </c>
      <c r="D15" s="3">
        <v>944719263</v>
      </c>
      <c r="E15" s="3">
        <v>32280146</v>
      </c>
      <c r="F15" s="3">
        <v>97055205</v>
      </c>
      <c r="G15" s="3">
        <v>29132670</v>
      </c>
      <c r="H15" s="3">
        <v>126017713</v>
      </c>
      <c r="I15" s="3">
        <v>134234498</v>
      </c>
      <c r="J15" s="3">
        <v>95864707</v>
      </c>
      <c r="K15" s="3">
        <v>108213123</v>
      </c>
      <c r="L15" s="4">
        <f t="shared" si="0"/>
        <v>1632008038</v>
      </c>
    </row>
    <row r="16" spans="1:12" x14ac:dyDescent="0.35">
      <c r="A16" s="5" t="s">
        <v>35</v>
      </c>
      <c r="B16" s="5" t="s">
        <v>36</v>
      </c>
      <c r="C16" s="3">
        <v>80440725</v>
      </c>
      <c r="D16" s="3">
        <v>1794243756</v>
      </c>
      <c r="E16" s="3">
        <v>56083862</v>
      </c>
      <c r="F16" s="3">
        <v>204789664</v>
      </c>
      <c r="G16" s="3">
        <v>69962259</v>
      </c>
      <c r="H16" s="3">
        <v>395734856</v>
      </c>
      <c r="I16" s="3">
        <v>332666593</v>
      </c>
      <c r="J16" s="3">
        <v>175536737</v>
      </c>
      <c r="K16" s="3">
        <v>87544448</v>
      </c>
      <c r="L16" s="4">
        <f t="shared" si="0"/>
        <v>3197002900</v>
      </c>
    </row>
    <row r="17" spans="1:12" x14ac:dyDescent="0.35">
      <c r="A17" s="5" t="s">
        <v>37</v>
      </c>
      <c r="B17" s="5" t="s">
        <v>38</v>
      </c>
      <c r="C17" s="3">
        <v>219098789</v>
      </c>
      <c r="D17" s="3">
        <v>3376345093</v>
      </c>
      <c r="E17" s="3">
        <v>241249494</v>
      </c>
      <c r="F17" s="3">
        <v>429721245</v>
      </c>
      <c r="G17" s="3">
        <v>121354887</v>
      </c>
      <c r="H17" s="3">
        <v>422054409</v>
      </c>
      <c r="I17" s="3">
        <v>271455743</v>
      </c>
      <c r="J17" s="3">
        <v>261791655</v>
      </c>
      <c r="K17" s="3">
        <v>277717374</v>
      </c>
      <c r="L17" s="4">
        <f t="shared" si="0"/>
        <v>5620788689</v>
      </c>
    </row>
    <row r="18" spans="1:12" x14ac:dyDescent="0.35">
      <c r="A18" s="5" t="s">
        <v>39</v>
      </c>
      <c r="B18" s="5" t="s">
        <v>40</v>
      </c>
      <c r="C18" s="3">
        <v>58080024</v>
      </c>
      <c r="D18" s="3">
        <v>1836748322</v>
      </c>
      <c r="E18" s="3">
        <v>153749575</v>
      </c>
      <c r="F18" s="3">
        <v>233766970</v>
      </c>
      <c r="G18" s="3">
        <v>55893397</v>
      </c>
      <c r="H18" s="3">
        <v>208261461</v>
      </c>
      <c r="I18" s="3">
        <v>168342376</v>
      </c>
      <c r="J18" s="3">
        <v>116758068</v>
      </c>
      <c r="K18" s="3">
        <v>157359074</v>
      </c>
      <c r="L18" s="4">
        <f t="shared" si="0"/>
        <v>2988959267</v>
      </c>
    </row>
    <row r="19" spans="1:12" x14ac:dyDescent="0.35">
      <c r="A19" s="5" t="s">
        <v>41</v>
      </c>
      <c r="B19" s="5" t="s">
        <v>42</v>
      </c>
      <c r="C19" s="3">
        <v>97882892</v>
      </c>
      <c r="D19" s="3">
        <v>2172081389</v>
      </c>
      <c r="E19" s="3">
        <v>109506109</v>
      </c>
      <c r="F19" s="3">
        <v>151266666</v>
      </c>
      <c r="G19" s="3">
        <v>92432455</v>
      </c>
      <c r="H19" s="3">
        <v>381695942</v>
      </c>
      <c r="I19" s="3">
        <v>279966146</v>
      </c>
      <c r="J19" s="3">
        <v>244175645</v>
      </c>
      <c r="K19" s="3">
        <v>118849290</v>
      </c>
      <c r="L19" s="4">
        <f t="shared" si="0"/>
        <v>3647856534</v>
      </c>
    </row>
    <row r="20" spans="1:12" x14ac:dyDescent="0.35">
      <c r="A20" s="5" t="s">
        <v>43</v>
      </c>
      <c r="B20" s="5" t="s">
        <v>44</v>
      </c>
      <c r="C20" s="3">
        <v>188395347</v>
      </c>
      <c r="D20" s="3">
        <v>5939558723</v>
      </c>
      <c r="E20" s="3">
        <v>176363962</v>
      </c>
      <c r="F20" s="3">
        <v>196202401</v>
      </c>
      <c r="G20" s="3">
        <v>142241973</v>
      </c>
      <c r="H20" s="3">
        <v>646136368</v>
      </c>
      <c r="I20" s="3">
        <v>392680313</v>
      </c>
      <c r="J20" s="3">
        <v>452667879</v>
      </c>
      <c r="K20" s="3">
        <v>147553624</v>
      </c>
      <c r="L20" s="4">
        <f t="shared" si="0"/>
        <v>8281800590</v>
      </c>
    </row>
    <row r="21" spans="1:12" x14ac:dyDescent="0.35">
      <c r="A21" s="5" t="s">
        <v>45</v>
      </c>
      <c r="B21" s="5" t="s">
        <v>46</v>
      </c>
      <c r="C21" s="3">
        <v>449308807</v>
      </c>
      <c r="D21" s="3">
        <v>12252846321</v>
      </c>
      <c r="E21" s="3">
        <v>374859669</v>
      </c>
      <c r="F21" s="3">
        <v>589881946</v>
      </c>
      <c r="G21" s="3">
        <v>271158410</v>
      </c>
      <c r="H21" s="3">
        <v>1199030886</v>
      </c>
      <c r="I21" s="3">
        <v>628946597</v>
      </c>
      <c r="J21" s="3">
        <v>843034886</v>
      </c>
      <c r="K21" s="3">
        <v>613969409</v>
      </c>
      <c r="L21" s="4">
        <f t="shared" si="0"/>
        <v>17223036931</v>
      </c>
    </row>
    <row r="22" spans="1:12" x14ac:dyDescent="0.35">
      <c r="A22" s="5" t="s">
        <v>47</v>
      </c>
      <c r="B22" s="5" t="s">
        <v>48</v>
      </c>
      <c r="C22" s="3">
        <v>75678901</v>
      </c>
      <c r="D22" s="3">
        <v>1750387415</v>
      </c>
      <c r="E22" s="3">
        <v>87618937</v>
      </c>
      <c r="F22" s="3">
        <v>101260390</v>
      </c>
      <c r="G22" s="3">
        <v>53789389</v>
      </c>
      <c r="H22" s="3">
        <v>253909034</v>
      </c>
      <c r="I22" s="3">
        <v>221733860</v>
      </c>
      <c r="J22" s="3">
        <v>125257007</v>
      </c>
      <c r="K22" s="3">
        <v>87057943</v>
      </c>
      <c r="L22" s="4">
        <f t="shared" si="0"/>
        <v>2756692876</v>
      </c>
    </row>
    <row r="23" spans="1:12" x14ac:dyDescent="0.35">
      <c r="A23" s="5" t="s">
        <v>49</v>
      </c>
      <c r="B23" s="5" t="s">
        <v>50</v>
      </c>
      <c r="C23" s="3">
        <v>78844047</v>
      </c>
      <c r="D23" s="3">
        <v>960737185</v>
      </c>
      <c r="E23" s="3">
        <v>30011765</v>
      </c>
      <c r="F23" s="3">
        <v>51971972</v>
      </c>
      <c r="G23" s="3">
        <v>47925247</v>
      </c>
      <c r="H23" s="3">
        <v>118213917</v>
      </c>
      <c r="I23" s="3">
        <v>42152950</v>
      </c>
      <c r="J23" s="3">
        <v>37925261</v>
      </c>
      <c r="K23" s="3">
        <v>32722013</v>
      </c>
      <c r="L23" s="4">
        <f t="shared" si="0"/>
        <v>1400504357</v>
      </c>
    </row>
    <row r="24" spans="1:12" x14ac:dyDescent="0.35">
      <c r="A24" s="5" t="s">
        <v>51</v>
      </c>
      <c r="B24" s="5" t="s">
        <v>52</v>
      </c>
      <c r="C24" s="3">
        <v>63949664</v>
      </c>
      <c r="D24" s="3">
        <v>1382903259</v>
      </c>
      <c r="E24" s="3">
        <v>100985421</v>
      </c>
      <c r="F24" s="3">
        <v>115434143</v>
      </c>
      <c r="G24" s="3">
        <v>39443250</v>
      </c>
      <c r="H24" s="3">
        <v>160733196</v>
      </c>
      <c r="I24" s="3">
        <v>63657446</v>
      </c>
      <c r="J24" s="3">
        <v>75475668</v>
      </c>
      <c r="K24" s="3">
        <v>54086132</v>
      </c>
      <c r="L24" s="4">
        <f t="shared" si="0"/>
        <v>2056668179</v>
      </c>
    </row>
    <row r="25" spans="1:12" x14ac:dyDescent="0.35">
      <c r="A25" s="5" t="s">
        <v>53</v>
      </c>
      <c r="B25" s="5" t="s">
        <v>54</v>
      </c>
      <c r="C25" s="3">
        <v>43764712</v>
      </c>
      <c r="D25" s="3">
        <v>684370178</v>
      </c>
      <c r="E25" s="3">
        <v>17735871</v>
      </c>
      <c r="F25" s="3">
        <v>47447131</v>
      </c>
      <c r="G25" s="3">
        <v>29599791</v>
      </c>
      <c r="H25" s="3">
        <v>92549201</v>
      </c>
      <c r="I25" s="3">
        <v>48297956</v>
      </c>
      <c r="J25" s="3">
        <v>38170985</v>
      </c>
      <c r="K25" s="3">
        <v>102442776</v>
      </c>
      <c r="L25" s="4">
        <f t="shared" si="0"/>
        <v>1104378601</v>
      </c>
    </row>
    <row r="26" spans="1:12" x14ac:dyDescent="0.35">
      <c r="A26" s="5" t="s">
        <v>55</v>
      </c>
      <c r="B26" s="5" t="s">
        <v>56</v>
      </c>
      <c r="C26" s="3">
        <v>53005761</v>
      </c>
      <c r="D26" s="3">
        <v>1804350360</v>
      </c>
      <c r="E26" s="3">
        <v>192776927</v>
      </c>
      <c r="F26" s="3">
        <v>69754829</v>
      </c>
      <c r="G26" s="3">
        <v>66111262</v>
      </c>
      <c r="H26" s="3">
        <v>284427274</v>
      </c>
      <c r="I26" s="3">
        <v>159044317</v>
      </c>
      <c r="J26" s="3">
        <v>183653899</v>
      </c>
      <c r="K26" s="3">
        <v>81313099</v>
      </c>
      <c r="L26" s="4">
        <f t="shared" si="0"/>
        <v>2894437728</v>
      </c>
    </row>
    <row r="27" spans="1:12" x14ac:dyDescent="0.35">
      <c r="A27" s="5" t="s">
        <v>57</v>
      </c>
      <c r="B27" s="5" t="s">
        <v>58</v>
      </c>
      <c r="C27" s="3">
        <v>286236164</v>
      </c>
      <c r="D27" s="3">
        <v>4297314288</v>
      </c>
      <c r="E27" s="3">
        <v>184830679</v>
      </c>
      <c r="F27" s="3">
        <v>336751882</v>
      </c>
      <c r="G27" s="3">
        <v>115105635</v>
      </c>
      <c r="H27" s="3">
        <v>639232571</v>
      </c>
      <c r="I27" s="3">
        <v>745281768</v>
      </c>
      <c r="J27" s="3">
        <v>529386697</v>
      </c>
      <c r="K27" s="3">
        <v>563299933</v>
      </c>
      <c r="L27" s="4">
        <f t="shared" si="0"/>
        <v>7697439617</v>
      </c>
    </row>
    <row r="28" spans="1:12" x14ac:dyDescent="0.35">
      <c r="A28" s="5" t="s">
        <v>59</v>
      </c>
      <c r="B28" s="5" t="s">
        <v>60</v>
      </c>
      <c r="C28" s="3">
        <v>29423463</v>
      </c>
      <c r="D28" s="3">
        <v>798015863</v>
      </c>
      <c r="E28" s="3">
        <v>36203055</v>
      </c>
      <c r="F28" s="3">
        <v>34975178</v>
      </c>
      <c r="G28" s="3">
        <v>56294620</v>
      </c>
      <c r="H28" s="3">
        <v>190177896</v>
      </c>
      <c r="I28" s="3">
        <v>100654044</v>
      </c>
      <c r="J28" s="3">
        <v>126483773</v>
      </c>
      <c r="K28" s="3">
        <v>45395263</v>
      </c>
      <c r="L28" s="4">
        <f t="shared" si="0"/>
        <v>1417623155</v>
      </c>
    </row>
    <row r="29" spans="1:12" x14ac:dyDescent="0.35">
      <c r="A29" s="5" t="s">
        <v>61</v>
      </c>
      <c r="B29" s="5" t="s">
        <v>62</v>
      </c>
      <c r="C29" s="3">
        <v>84400666</v>
      </c>
      <c r="D29" s="3">
        <v>1815835257</v>
      </c>
      <c r="E29" s="3">
        <v>68353390</v>
      </c>
      <c r="F29" s="3">
        <v>182824734</v>
      </c>
      <c r="G29" s="3">
        <v>107193086</v>
      </c>
      <c r="H29" s="3">
        <v>545600424</v>
      </c>
      <c r="I29" s="3">
        <v>393794638</v>
      </c>
      <c r="J29" s="3">
        <v>240680452</v>
      </c>
      <c r="K29" s="3">
        <v>100330818</v>
      </c>
      <c r="L29" s="4">
        <f t="shared" si="0"/>
        <v>3539013465</v>
      </c>
    </row>
    <row r="30" spans="1:12" x14ac:dyDescent="0.35">
      <c r="A30" s="5" t="s">
        <v>63</v>
      </c>
      <c r="B30" s="5" t="s">
        <v>64</v>
      </c>
      <c r="C30" s="3">
        <v>1140866908</v>
      </c>
      <c r="D30" s="3">
        <v>24132276096</v>
      </c>
      <c r="E30" s="3">
        <v>587998552</v>
      </c>
      <c r="F30" s="3">
        <v>1055773604</v>
      </c>
      <c r="G30" s="3">
        <v>585202893</v>
      </c>
      <c r="H30" s="3">
        <v>8149732493</v>
      </c>
      <c r="I30" s="3">
        <v>3994998364</v>
      </c>
      <c r="J30" s="3">
        <v>4028369108</v>
      </c>
      <c r="K30" s="3">
        <v>1981307859</v>
      </c>
      <c r="L30" s="4">
        <f t="shared" si="0"/>
        <v>45656525877</v>
      </c>
    </row>
    <row r="31" spans="1:12" x14ac:dyDescent="0.35">
      <c r="A31" s="5" t="s">
        <v>65</v>
      </c>
      <c r="B31" s="5" t="s">
        <v>66</v>
      </c>
      <c r="C31" s="3">
        <v>179692171</v>
      </c>
      <c r="D31" s="3">
        <v>3571439462</v>
      </c>
      <c r="E31" s="3">
        <v>182848275</v>
      </c>
      <c r="F31" s="3">
        <v>301627742</v>
      </c>
      <c r="G31" s="3">
        <v>138260322</v>
      </c>
      <c r="H31" s="3">
        <v>659055634</v>
      </c>
      <c r="I31" s="3">
        <v>274169708</v>
      </c>
      <c r="J31" s="3">
        <v>432526120</v>
      </c>
      <c r="K31" s="3">
        <v>330255673</v>
      </c>
      <c r="L31" s="4">
        <f t="shared" si="0"/>
        <v>6069875107</v>
      </c>
    </row>
    <row r="32" spans="1:12" x14ac:dyDescent="0.35">
      <c r="A32" s="5" t="s">
        <v>67</v>
      </c>
      <c r="B32" s="5" t="s">
        <v>68</v>
      </c>
      <c r="C32" s="3">
        <v>95160625</v>
      </c>
      <c r="D32" s="3">
        <v>2520696470</v>
      </c>
      <c r="E32" s="3">
        <v>126747131</v>
      </c>
      <c r="F32" s="3">
        <v>220819493</v>
      </c>
      <c r="G32" s="3">
        <v>63883316</v>
      </c>
      <c r="H32" s="3">
        <v>338517849</v>
      </c>
      <c r="I32" s="3">
        <v>200495553</v>
      </c>
      <c r="J32" s="3">
        <v>252672403</v>
      </c>
      <c r="K32" s="3">
        <v>166269593</v>
      </c>
      <c r="L32" s="4">
        <f t="shared" si="0"/>
        <v>3985262433</v>
      </c>
    </row>
    <row r="33" spans="2:12" x14ac:dyDescent="0.35">
      <c r="B33" s="2" t="s">
        <v>71</v>
      </c>
      <c r="C33" s="4">
        <f>SUM(C2:C32)</f>
        <v>4937406478</v>
      </c>
      <c r="D33" s="4">
        <f t="shared" ref="D33:L33" si="1">SUM(D2:D32)</f>
        <v>102784786864</v>
      </c>
      <c r="E33" s="4">
        <f t="shared" si="1"/>
        <v>4399707005</v>
      </c>
      <c r="F33" s="4">
        <f t="shared" si="1"/>
        <v>7238710239</v>
      </c>
      <c r="G33" s="4">
        <f t="shared" si="1"/>
        <v>3247809035</v>
      </c>
      <c r="H33" s="4">
        <f t="shared" si="1"/>
        <v>19659762552</v>
      </c>
      <c r="I33" s="4">
        <f t="shared" si="1"/>
        <v>12247487144</v>
      </c>
      <c r="J33" s="4">
        <f t="shared" si="1"/>
        <v>11178788163</v>
      </c>
      <c r="K33" s="4">
        <f t="shared" si="1"/>
        <v>8261751406</v>
      </c>
      <c r="L33" s="4">
        <f t="shared" si="1"/>
        <v>173956208886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 Profilés</vt:lpstr>
      <vt:lpstr>Profilés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DUMONT Dany (GRDF)</dc:creator>
  <cp:lastModifiedBy>DUMONT Dany (GRDF)</cp:lastModifiedBy>
  <dcterms:created xsi:type="dcterms:W3CDTF">2026-01-14T14:38:53Z</dcterms:created>
  <dcterms:modified xsi:type="dcterms:W3CDTF">2026-01-14T14:49:24Z</dcterms:modified>
</cp:coreProperties>
</file>