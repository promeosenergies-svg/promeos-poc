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grdf-my.sharepoint.com/personal/ad3004_grdf_fr/Documents/Documents/GT2/Procédures à jour/"/>
    </mc:Choice>
  </mc:AlternateContent>
  <xr:revisionPtr revIDLastSave="50" documentId="8_{5CAC35EA-77EF-45C1-8C1C-ABEBF8348298}" xr6:coauthVersionLast="47" xr6:coauthVersionMax="47" xr10:uidLastSave="{D75F7984-45F1-4AD0-B004-E873639263C1}"/>
  <bookViews>
    <workbookView xWindow="28680" yWindow="-120" windowWidth="29040" windowHeight="15720" tabRatio="705" activeTab="3" xr2:uid="{00000000-000D-0000-FFFF-FFFF00000000}"/>
  </bookViews>
  <sheets>
    <sheet name="Notice d'utilisation" sheetId="3" r:id="rId1"/>
    <sheet name="Profils" sheetId="1" r:id="rId2"/>
    <sheet name="Ajustement climatique" sheetId="2" r:id="rId3"/>
    <sheet name="Stations météo-zones climat." sheetId="4" r:id="rId4"/>
    <sheet name="T° de référence avr26 mars27" sheetId="5" r:id="rId5"/>
    <sheet name="T° de référence générales" sheetId="6" r:id="rId6"/>
    <sheet name="Coefficients Tcc" sheetId="7" r:id="rId7"/>
    <sheet name="Correction de Part Hiver" sheetId="8" r:id="rId8"/>
    <sheet name="Évolution des CAR" sheetId="9" r:id="rId9"/>
  </sheets>
  <definedNames>
    <definedName name="_ftn1" localSheetId="8">'Évolution des CAR'!#REF!</definedName>
    <definedName name="_ftnref1" localSheetId="8">'Évolution des CAR'!$A$10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1" i="3" l="1"/>
  <c r="H88" i="3"/>
  <c r="E88" i="3"/>
  <c r="F88" i="3"/>
  <c r="B78" i="3"/>
  <c r="D85" i="3"/>
  <c r="D74" i="3" l="1"/>
  <c r="D91" i="3" l="1"/>
  <c r="C88" i="3"/>
  <c r="B88" i="3"/>
</calcChain>
</file>

<file path=xl/sharedStrings.xml><?xml version="1.0" encoding="utf-8"?>
<sst xmlns="http://schemas.openxmlformats.org/spreadsheetml/2006/main" count="487" uniqueCount="189">
  <si>
    <t>Notice d'utilisation des profils et de la formule d'ajustement climatique</t>
  </si>
  <si>
    <t xml:space="preserve">La méthode des profils a été conçue pour calculer des estimations de consommations en vue </t>
  </si>
  <si>
    <t>des allocations à l'interface Transport Distribution.</t>
  </si>
  <si>
    <t xml:space="preserve">Elle est également utilisée pour le calcul des souscriptions normalisées sur le réseau régional </t>
  </si>
  <si>
    <t>de transport et pour celui de la composante stockage.</t>
  </si>
  <si>
    <t>La méthode des profils permet de calculer une estimation de la consommation journalière</t>
  </si>
  <si>
    <t>pour chaque Point de Comptage ou d'Estimation (PCE).</t>
  </si>
  <si>
    <t>Pour cela, il faut connaître la station météo de rattachement, la Consommation Annuelle de</t>
  </si>
  <si>
    <t>Référence (CAR) et le profil du PCE.</t>
  </si>
  <si>
    <r>
      <t xml:space="preserve">La </t>
    </r>
    <r>
      <rPr>
        <b/>
        <sz val="10"/>
        <rFont val="Arial"/>
        <family val="2"/>
      </rPr>
      <t>station météo de rattachement</t>
    </r>
    <r>
      <rPr>
        <sz val="10"/>
        <rFont val="Arial"/>
        <family val="2"/>
      </rPr>
      <t xml:space="preserve"> du PCE est celle du PITD dont il dépend. </t>
    </r>
  </si>
  <si>
    <t xml:space="preserve">Pour identifier ce dernier, il faut partir du code INSEE de la commune du PCE, puis </t>
  </si>
  <si>
    <t>se référer à la table des PITD disponible sur le site du GTG</t>
  </si>
  <si>
    <t>Méthode pour la détermination de la consommation journalière d'un jour J</t>
  </si>
  <si>
    <r>
      <t>1</t>
    </r>
    <r>
      <rPr>
        <b/>
        <i/>
        <u/>
        <vertAlign val="superscript"/>
        <sz val="11"/>
        <rFont val="Arial"/>
        <family val="2"/>
      </rPr>
      <t>ère</t>
    </r>
    <r>
      <rPr>
        <b/>
        <i/>
        <u/>
        <sz val="11"/>
        <rFont val="Arial"/>
        <family val="2"/>
      </rPr>
      <t xml:space="preserve"> étape: calcul de la température efficace du jour J</t>
    </r>
  </si>
  <si>
    <t xml:space="preserve">Le jour gazier J commence à 6h le jour calendaire J et se termine à 6h le jour calendaire J+1. </t>
  </si>
  <si>
    <t xml:space="preserve">avec T(J), T(J-1), T(J-2) températures moyennes journalières de J, J-1, J-2 observées à la station </t>
  </si>
  <si>
    <t xml:space="preserve">météo du PCE. La température moyenne du jour gazier J couvre la période qui va de 6h le jour </t>
  </si>
  <si>
    <t>calendaire J à 6h le jour calendaire J+1. Elle est prise égale à la moyenne des températures</t>
  </si>
  <si>
    <t>trihoraires mesurées entre 6h le jour calendaire J et 3h le jour calendaire J+1.</t>
  </si>
  <si>
    <r>
      <t>2</t>
    </r>
    <r>
      <rPr>
        <b/>
        <i/>
        <u/>
        <vertAlign val="superscript"/>
        <sz val="11"/>
        <rFont val="Arial"/>
        <family val="2"/>
      </rPr>
      <t>ème</t>
    </r>
    <r>
      <rPr>
        <b/>
        <i/>
        <u/>
        <sz val="11"/>
        <rFont val="Arial"/>
        <family val="2"/>
      </rPr>
      <t xml:space="preserve"> étape: détermination de la consommation normée à température réelle</t>
    </r>
  </si>
  <si>
    <r>
      <t xml:space="preserve">Il faut aller chercher pour le profil et le jour J considéré (onglet </t>
    </r>
    <r>
      <rPr>
        <b/>
        <sz val="10"/>
        <rFont val="Arial"/>
        <family val="2"/>
      </rPr>
      <t>Profils</t>
    </r>
    <r>
      <rPr>
        <sz val="10"/>
        <rFont val="Arial"/>
        <family val="2"/>
      </rPr>
      <t xml:space="preserve">) la consommation normée </t>
    </r>
  </si>
  <si>
    <t>L'onglet Profils permet également de déterminer le paramètre s pour le jour J :</t>
  </si>
  <si>
    <t xml:space="preserve">s = </t>
  </si>
  <si>
    <t>0 si J est un jour de week-end ou un jour férié</t>
  </si>
  <si>
    <t>1 si J est un jour ouvré</t>
  </si>
  <si>
    <r>
      <t>La valeur du coefficient d'ajustement climatique e</t>
    </r>
    <r>
      <rPr>
        <vertAlign val="subscript"/>
        <sz val="10"/>
        <rFont val="Arial"/>
        <family val="2"/>
      </rPr>
      <t>s</t>
    </r>
    <r>
      <rPr>
        <sz val="10"/>
        <rFont val="Arial"/>
        <family val="2"/>
      </rPr>
      <t xml:space="preserve"> vaut donc e</t>
    </r>
    <r>
      <rPr>
        <vertAlign val="subscript"/>
        <sz val="10"/>
        <rFont val="Arial"/>
        <family val="2"/>
      </rPr>
      <t>1</t>
    </r>
    <r>
      <rPr>
        <sz val="10"/>
        <rFont val="Arial"/>
        <family val="2"/>
      </rPr>
      <t xml:space="preserve"> en jour ouvré et e</t>
    </r>
    <r>
      <rPr>
        <vertAlign val="subscript"/>
        <sz val="10"/>
        <rFont val="Arial"/>
        <family val="2"/>
      </rPr>
      <t xml:space="preserve">0 </t>
    </r>
    <r>
      <rPr>
        <sz val="10"/>
        <rFont val="Arial"/>
        <family val="2"/>
      </rPr>
      <t xml:space="preserve">en jour de </t>
    </r>
  </si>
  <si>
    <t>week-end ou en jour férié.</t>
  </si>
  <si>
    <t>L'onglet Températures de Référence permet de déterminer la température Tref(J).</t>
  </si>
  <si>
    <t xml:space="preserve">La température de référence est la moyenne, lissée par une transformée de Fourier, des </t>
  </si>
  <si>
    <t>par GRDF, pondérées avec les consommations de gaz des PITD rattachés à chacune.</t>
  </si>
  <si>
    <t>Il faut ensuite, grâce à la fonction d'ajustement climatique, ramener la consommation normée</t>
  </si>
  <si>
    <t>du jour J à la température efficace du jour J pour la station météo de rattachement du PCE.</t>
  </si>
  <si>
    <t xml:space="preserve">Pour calculer la consommation normée à température efficace du jour J, il faut utiliser les </t>
  </si>
  <si>
    <t xml:space="preserve">paramètres d'ajustement climatique associés au profil, à la zone climatique du PCE (onglet </t>
  </si>
  <si>
    <r>
      <rPr>
        <b/>
        <sz val="10"/>
        <rFont val="Arial"/>
        <family val="2"/>
      </rPr>
      <t>Ajustement climatique</t>
    </r>
    <r>
      <rPr>
        <sz val="10"/>
        <rFont val="Arial"/>
        <family val="2"/>
      </rPr>
      <t>) et les rentrer dans la formule d'ajustement climatique ci-dessous.</t>
    </r>
  </si>
  <si>
    <r>
      <t>3</t>
    </r>
    <r>
      <rPr>
        <b/>
        <i/>
        <u/>
        <vertAlign val="superscript"/>
        <sz val="11"/>
        <rFont val="Arial"/>
        <family val="2"/>
      </rPr>
      <t>ème</t>
    </r>
    <r>
      <rPr>
        <b/>
        <i/>
        <u/>
        <sz val="11"/>
        <rFont val="Arial"/>
        <family val="2"/>
      </rPr>
      <t xml:space="preserve"> étape: calcul de la consommation du jour J à température réelle</t>
    </r>
  </si>
  <si>
    <t>La consommation du jour J à température réelle pour le PCE vaut :</t>
  </si>
  <si>
    <t>La CAR est ramenée à climat de référence en utilisant les coefficients Tcc.</t>
  </si>
  <si>
    <t>PCE MM situé sur la commune de Bagnols-sur-Ceze (code INSEE 30028)</t>
  </si>
  <si>
    <r>
      <t>PITD</t>
    </r>
    <r>
      <rPr>
        <i/>
        <sz val="10"/>
        <rFont val="Arial"/>
        <family val="2"/>
      </rPr>
      <t xml:space="preserve"> : GD0530 BAGNOLS-SUR-CEZE</t>
    </r>
  </si>
  <si>
    <r>
      <t>station météo</t>
    </r>
    <r>
      <rPr>
        <i/>
        <sz val="10"/>
        <rFont val="Arial"/>
        <family val="2"/>
      </rPr>
      <t xml:space="preserve"> : 30189001 Nîmes-Courbessac</t>
    </r>
  </si>
  <si>
    <r>
      <t xml:space="preserve">CAR : </t>
    </r>
    <r>
      <rPr>
        <i/>
        <sz val="10"/>
        <rFont val="Arial"/>
        <family val="2"/>
      </rPr>
      <t>500 000 kWh</t>
    </r>
  </si>
  <si>
    <r>
      <t>profil</t>
    </r>
    <r>
      <rPr>
        <i/>
        <sz val="10"/>
        <rFont val="Arial"/>
        <family val="2"/>
      </rPr>
      <t xml:space="preserve"> : P017</t>
    </r>
  </si>
  <si>
    <t>On suppose que T(J) = 5,5°C, T(J-1) = 5,2°C, T(J-2) = 5,1°C</t>
  </si>
  <si>
    <t xml:space="preserve">On en déduit la température efficace : </t>
  </si>
  <si>
    <t>Teff(J) = 0,64 x 5,5 + 0,24 x 5,2 + 0,12 x 5,1 =</t>
  </si>
  <si>
    <t>°C</t>
  </si>
  <si>
    <r>
      <t>1</t>
    </r>
    <r>
      <rPr>
        <i/>
        <u/>
        <vertAlign val="superscript"/>
        <sz val="10"/>
        <rFont val="Arial"/>
        <family val="2"/>
      </rPr>
      <t>ère</t>
    </r>
    <r>
      <rPr>
        <i/>
        <u/>
        <sz val="10"/>
        <rFont val="Arial"/>
        <family val="2"/>
      </rPr>
      <t xml:space="preserve"> étape</t>
    </r>
  </si>
  <si>
    <t>pour le profil P017</t>
  </si>
  <si>
    <t>Tref(J) =</t>
  </si>
  <si>
    <t>Tseuil =</t>
  </si>
  <si>
    <r>
      <rPr>
        <b/>
        <i/>
        <sz val="10"/>
        <rFont val="Arial"/>
        <family val="2"/>
      </rPr>
      <t>°C</t>
    </r>
    <r>
      <rPr>
        <i/>
        <sz val="10"/>
        <rFont val="Arial"/>
        <family val="2"/>
      </rPr>
      <t xml:space="preserve"> (température seuil de la station de Nîmes-Courbessac)</t>
    </r>
  </si>
  <si>
    <r>
      <t>2</t>
    </r>
    <r>
      <rPr>
        <i/>
        <u/>
        <vertAlign val="superscript"/>
        <sz val="10"/>
        <rFont val="Arial"/>
        <family val="2"/>
      </rPr>
      <t>ème</t>
    </r>
    <r>
      <rPr>
        <i/>
        <u/>
        <sz val="10"/>
        <rFont val="Arial"/>
        <family val="2"/>
      </rPr>
      <t xml:space="preserve"> étape</t>
    </r>
  </si>
  <si>
    <t>Le paramètre d'ajustement climatique pour le profil P017 est</t>
  </si>
  <si>
    <r>
      <t>(cf. onglet Ajustement climatique)</t>
    </r>
    <r>
      <rPr>
        <b/>
        <i/>
        <sz val="10"/>
        <rFont val="Arial"/>
        <family val="2"/>
      </rPr>
      <t xml:space="preserve"> e1 =</t>
    </r>
  </si>
  <si>
    <t>En appliquant la formule d'ajustement climatique, on obtient :</t>
  </si>
  <si>
    <t>x     (</t>
  </si>
  <si>
    <t>) =</t>
  </si>
  <si>
    <r>
      <t>3</t>
    </r>
    <r>
      <rPr>
        <i/>
        <u/>
        <vertAlign val="superscript"/>
        <sz val="10"/>
        <rFont val="Arial"/>
        <family val="2"/>
      </rPr>
      <t>ème</t>
    </r>
    <r>
      <rPr>
        <i/>
        <u/>
        <sz val="10"/>
        <rFont val="Arial"/>
        <family val="2"/>
      </rPr>
      <t xml:space="preserve"> étape</t>
    </r>
  </si>
  <si>
    <t>On a donc Conso (J) = 500 000 / 365 x</t>
  </si>
  <si>
    <t>=</t>
  </si>
  <si>
    <t>kWh</t>
  </si>
  <si>
    <t>Mois</t>
  </si>
  <si>
    <t>Date</t>
  </si>
  <si>
    <t>s</t>
  </si>
  <si>
    <t>P011</t>
  </si>
  <si>
    <t>P012</t>
  </si>
  <si>
    <t>P013</t>
  </si>
  <si>
    <t>P014</t>
  </si>
  <si>
    <t>P015</t>
  </si>
  <si>
    <t>P016</t>
  </si>
  <si>
    <t>P017</t>
  </si>
  <si>
    <t>P018</t>
  </si>
  <si>
    <t>P019</t>
  </si>
  <si>
    <t>Code profil</t>
  </si>
  <si>
    <t>Zone climatique</t>
  </si>
  <si>
    <t>Date_debut</t>
  </si>
  <si>
    <t>Date_fin</t>
  </si>
  <si>
    <r>
      <t>e</t>
    </r>
    <r>
      <rPr>
        <b/>
        <vertAlign val="subscript"/>
        <sz val="10"/>
        <rFont val="Arial"/>
        <family val="2"/>
      </rPr>
      <t>0</t>
    </r>
  </si>
  <si>
    <r>
      <t>e</t>
    </r>
    <r>
      <rPr>
        <b/>
        <vertAlign val="subscript"/>
        <sz val="10"/>
        <rFont val="Arial"/>
        <family val="2"/>
      </rPr>
      <t>1</t>
    </r>
  </si>
  <si>
    <t>H1 / H2 / H3</t>
  </si>
  <si>
    <t>Code station</t>
  </si>
  <si>
    <t>Nom station</t>
  </si>
  <si>
    <t>T seuil (°C)</t>
  </si>
  <si>
    <t xml:space="preserve">T2efficace (°C) </t>
  </si>
  <si>
    <t>T2 efficace Avril (°C) (1)</t>
  </si>
  <si>
    <t>06088001</t>
  </si>
  <si>
    <t>NICE</t>
  </si>
  <si>
    <t>H3</t>
  </si>
  <si>
    <t>MARIGNANE</t>
  </si>
  <si>
    <t>COGNAC</t>
  </si>
  <si>
    <t>H2</t>
  </si>
  <si>
    <t>BOURGES</t>
  </si>
  <si>
    <t>DIJON-LONGVIC</t>
  </si>
  <si>
    <t>H1</t>
  </si>
  <si>
    <t>BESANCON</t>
  </si>
  <si>
    <t>MONTELIMAR</t>
  </si>
  <si>
    <t>CHARTRES</t>
  </si>
  <si>
    <t>BREST-GUIPAVAS</t>
  </si>
  <si>
    <t>NIMES-COURBESSAC</t>
  </si>
  <si>
    <t>TOULOUSE-BLAGNAC</t>
  </si>
  <si>
    <t>BORDEAUX-MERIGNAC</t>
  </si>
  <si>
    <t>DINARD-LE-PLEURTUIT</t>
  </si>
  <si>
    <t>TOURS</t>
  </si>
  <si>
    <t>GRENOBLE-ST-GEOIRS</t>
  </si>
  <si>
    <t>ST-ETIENNE-BOUTHEON</t>
  </si>
  <si>
    <t>NANTES-BOUGUENAIS</t>
  </si>
  <si>
    <t>AGEN</t>
  </si>
  <si>
    <t>REIMS-PRUNAY</t>
  </si>
  <si>
    <t>METZ-FRESCATY</t>
  </si>
  <si>
    <t>LILLE-LESQUIN</t>
  </si>
  <si>
    <t>CLERMONT-FERRAND</t>
  </si>
  <si>
    <t>BIARRITZ-ANGLET</t>
  </si>
  <si>
    <t>PAU-UZEIN</t>
  </si>
  <si>
    <t>PERPIGNAN</t>
  </si>
  <si>
    <t>ENTZHEIM</t>
  </si>
  <si>
    <t>COLMAR-MEYENHEIM</t>
  </si>
  <si>
    <t>BALE-MULHOUSE</t>
  </si>
  <si>
    <t>LYON-BRON</t>
  </si>
  <si>
    <t>LUXEUIL</t>
  </si>
  <si>
    <t>CHAMBERY-AIX</t>
  </si>
  <si>
    <t>BONNEVILLE</t>
  </si>
  <si>
    <t>PARIS-MONTSOURIS</t>
  </si>
  <si>
    <t>ROUEN-BOOS</t>
  </si>
  <si>
    <t>AUXERRE-PERRIGNY</t>
  </si>
  <si>
    <t xml:space="preserve"> (1) La température T2 efficace avril est la température efficace atteinte en avril, lors d'une pointe de</t>
  </si>
  <si>
    <t>froid extrême au risque 2 %. Ce scénario climatique correspond à une période de 3 jours consécutifs en</t>
  </si>
  <si>
    <t>avril avec une température extrêmement basse telle qu'il s'en produit statistiquement une tous les 50 ans.</t>
  </si>
  <si>
    <t>Jour</t>
  </si>
  <si>
    <t>T de référence 
en (°C)</t>
  </si>
  <si>
    <t>Code station Météo</t>
  </si>
  <si>
    <t>Nom de la station Météo</t>
  </si>
  <si>
    <t>Le profil est attribué aux PCE à relevé quotidien ou mensuel sur la base de la part hiver corrigée moyenne (PHcm) du PCE.</t>
  </si>
  <si>
    <r>
      <t>La PHcm pour l'attribution des profils entre le 1</t>
    </r>
    <r>
      <rPr>
        <vertAlign val="superscript"/>
        <sz val="10"/>
        <rFont val="Arial"/>
        <family val="2"/>
      </rPr>
      <t>er</t>
    </r>
    <r>
      <rPr>
        <sz val="10"/>
        <rFont val="Arial"/>
        <family val="2"/>
      </rPr>
      <t xml:space="preserve"> avril N+1 et le 31 mars N+2 est définie comme suit :</t>
    </r>
  </si>
  <si>
    <r>
      <t>o</t>
    </r>
    <r>
      <rPr>
        <sz val="7"/>
        <rFont val="Arial"/>
        <family val="2"/>
      </rPr>
      <t xml:space="preserve">    </t>
    </r>
    <r>
      <rPr>
        <sz val="10"/>
        <rFont val="Arial"/>
        <family val="2"/>
      </rPr>
      <t>Si la PH corrigée a pu être calculée pour les années gazières N-1/N, N-2/N-1 et N-3/N-2,</t>
    </r>
  </si>
  <si>
    <t>PHcm (N) = 0.35 PHcorrigée (N-1/N) + 0.35 PHcorrigée (N-2/N-1) + 0.3 PHcorrigée (N-3/N-2)</t>
  </si>
  <si>
    <r>
      <t>o</t>
    </r>
    <r>
      <rPr>
        <sz val="7"/>
        <rFont val="Arial"/>
        <family val="2"/>
      </rPr>
      <t xml:space="preserve">    </t>
    </r>
    <r>
      <rPr>
        <sz val="10"/>
        <rFont val="Arial"/>
        <family val="2"/>
      </rPr>
      <t>Si la PHcorrigée n’a pu être calculée que pour les années N-1/N et N-2/N-1,</t>
    </r>
  </si>
  <si>
    <t>PHcm (N) = 0.54 PHcorrigée (N-1/N) + 0.46 PHcorrigée (N-2/N-1)</t>
  </si>
  <si>
    <r>
      <t>o</t>
    </r>
    <r>
      <rPr>
        <sz val="7"/>
        <rFont val="Arial"/>
        <family val="2"/>
      </rPr>
      <t xml:space="preserve">    </t>
    </r>
    <r>
      <rPr>
        <sz val="10"/>
        <rFont val="Arial"/>
        <family val="2"/>
      </rPr>
      <t>Si la PHcorrigée n’a pu être calculée que pour l’année N-1/N,</t>
    </r>
  </si>
  <si>
    <t>PHcm (N) = PHcorrigée (N-1/N)</t>
  </si>
  <si>
    <t>et les règles d'attribution sont les suivantes :</t>
  </si>
  <si>
    <t>P013 - Client à relève Mensuelle ou Journalière PHcm &lt;= 39%</t>
  </si>
  <si>
    <t>P014 - Client à relève Mensuelle ou Journalière 39% &lt; PHcm &lt;= 50%</t>
  </si>
  <si>
    <t>P015 - Client à relève Mensuelle ou Journalière 50% &lt; PHcm &lt;= 58%</t>
  </si>
  <si>
    <t>P016 - Client à relève Mensuelle ou Journalière 58% &lt; PHcm &lt;= 69%</t>
  </si>
  <si>
    <t>P017 - Client à relève Mensuelle ou Journalière 69% &lt; PHcm &lt;= 75%</t>
  </si>
  <si>
    <t>P018 - Client à relève Mensuelle ou Journalière 75% &lt; PHcm &lt;= 81%</t>
  </si>
  <si>
    <t>P019 - Client à relève Mensuelle ou Journalière PHcm &gt; 81%</t>
  </si>
  <si>
    <t>Si PH brute ≤ 0,50 ou PH brute = 1 : pas de correction</t>
  </si>
  <si>
    <t>La PH brute est comprise entre 0 et 1 et est égale à :</t>
  </si>
  <si>
    <t xml:space="preserve">(Somme des relevés mensuels des consommations, sans recalage sur les mois civils, 
des mois de novembre N-1 à mars N inclus) </t>
  </si>
  <si>
    <t>/</t>
  </si>
  <si>
    <t>(Somme des relevés mensuels de consommations, sans recalage sur les mois civils, 
des mois de novembre N-1 à octobre N inclus)</t>
  </si>
  <si>
    <t>PRISE EN COMPTE DE L'ÉVOLUTION DES CAR : COEFFICIENT DE TENDANCE</t>
  </si>
  <si>
    <t/>
  </si>
  <si>
    <t>En application de la "Procédure d’affectation et de changement de la consommation annuelle de référence et du
profil de consommation" en vigueur, les consommations annuelles de référence (CAR) sont calculées selon les
formules suivantes :</t>
  </si>
  <si>
    <t xml:space="preserve">Calcul de la CAR des PCE à relevé semestriel ou équipés d’un compteur communicant : </t>
  </si>
  <si>
    <r>
      <t xml:space="preserve">Le calcul de la </t>
    </r>
    <r>
      <rPr>
        <b/>
        <sz val="10"/>
        <rFont val="Arial"/>
        <family val="2"/>
      </rPr>
      <t>CAR</t>
    </r>
    <r>
      <rPr>
        <sz val="10"/>
        <rFont val="Arial"/>
        <family val="2"/>
      </rPr>
      <t xml:space="preserve"> s’appuie sur la consommation sur la période de référence, exprimée en énergie :</t>
    </r>
  </si>
  <si>
    <t>CAR = énergie livrée sur la période de référence x Tcc (profil, période de référence)  x (1+t)</t>
  </si>
  <si>
    <t>où t est un coefficient représentatif de l‘évolution des CAR</t>
  </si>
  <si>
    <t xml:space="preserve">* profil P011 : </t>
  </si>
  <si>
    <t xml:space="preserve">* profil P012 : </t>
  </si>
  <si>
    <t xml:space="preserve">* profils P011 et P012 : </t>
  </si>
  <si>
    <t xml:space="preserve">Calcul de la CAR des PCE à relevé journalier ou mensuel : </t>
  </si>
  <si>
    <t xml:space="preserve">* profil P013 : </t>
  </si>
  <si>
    <t xml:space="preserve">* profil P014 : </t>
  </si>
  <si>
    <t xml:space="preserve">* profil P015 : </t>
  </si>
  <si>
    <t xml:space="preserve">* profil P016 : </t>
  </si>
  <si>
    <t xml:space="preserve">* profil P017 : </t>
  </si>
  <si>
    <t xml:space="preserve">* profil P018 : </t>
  </si>
  <si>
    <t xml:space="preserve">* profil P019 : </t>
  </si>
  <si>
    <t xml:space="preserve">* profils P013 à P019 : </t>
  </si>
  <si>
    <t>températures journalières sur 30 ans (de 1991 à 2020) des 31 stations météo utilisées</t>
  </si>
  <si>
    <r>
      <t>Exemple</t>
    </r>
    <r>
      <rPr>
        <i/>
        <sz val="10"/>
        <rFont val="Arial"/>
        <family val="2"/>
      </rPr>
      <t xml:space="preserve"> de calcul: </t>
    </r>
  </si>
  <si>
    <r>
      <rPr>
        <b/>
        <i/>
        <sz val="10"/>
        <rFont val="Arial"/>
        <family val="2"/>
      </rPr>
      <t>°C</t>
    </r>
    <r>
      <rPr>
        <i/>
        <sz val="10"/>
        <rFont val="Arial"/>
        <family val="2"/>
      </rPr>
      <t xml:space="preserve"> (température de référence le 1</t>
    </r>
    <r>
      <rPr>
        <i/>
        <vertAlign val="superscript"/>
        <sz val="10"/>
        <rFont val="Arial"/>
        <family val="2"/>
      </rPr>
      <t xml:space="preserve"> </t>
    </r>
    <r>
      <rPr>
        <i/>
        <sz val="10"/>
        <rFont val="Arial"/>
        <family val="2"/>
      </rPr>
      <t>décembre)</t>
    </r>
  </si>
  <si>
    <t>à température de référence : CNTREF(J).</t>
  </si>
  <si>
    <r>
      <t>CNTR(J) = CNTREF(J)+ e</t>
    </r>
    <r>
      <rPr>
        <b/>
        <i/>
        <vertAlign val="subscript"/>
        <sz val="10"/>
        <rFont val="Arial"/>
        <family val="2"/>
      </rPr>
      <t>s</t>
    </r>
    <r>
      <rPr>
        <b/>
        <i/>
        <sz val="10"/>
        <rFont val="Arial"/>
        <family val="2"/>
      </rPr>
      <t>.[Min(T</t>
    </r>
    <r>
      <rPr>
        <b/>
        <i/>
        <vertAlign val="subscript"/>
        <sz val="10"/>
        <rFont val="Arial"/>
        <family val="2"/>
      </rPr>
      <t>eff</t>
    </r>
    <r>
      <rPr>
        <b/>
        <i/>
        <sz val="10"/>
        <rFont val="Arial"/>
        <family val="2"/>
      </rPr>
      <t>(J),Tseuil) - Min(T</t>
    </r>
    <r>
      <rPr>
        <b/>
        <i/>
        <vertAlign val="subscript"/>
        <sz val="10"/>
        <rFont val="Arial"/>
        <family val="2"/>
      </rPr>
      <t>ref</t>
    </r>
    <r>
      <rPr>
        <b/>
        <i/>
        <sz val="10"/>
        <rFont val="Arial"/>
        <family val="2"/>
      </rPr>
      <t>(J),Tseuil)]</t>
    </r>
  </si>
  <si>
    <t>Si CNTR(J) &lt; 0, il faut poser CNTR(J) = 0</t>
  </si>
  <si>
    <t>Conso(J) = CAR x CNTR(J) / 365</t>
  </si>
  <si>
    <t>CNTREF(J) =</t>
  </si>
  <si>
    <t xml:space="preserve">CNTR(J) = </t>
  </si>
  <si>
    <t>Pour les CAR applicables entre le 1er avril 2026 et le 31 mars 2027, le coefficient t vaut :</t>
  </si>
  <si>
    <r>
      <t>La température efficace calculée pour le jour J est :</t>
    </r>
    <r>
      <rPr>
        <b/>
        <sz val="10"/>
        <rFont val="Arial"/>
        <family val="2"/>
      </rPr>
      <t>Teff(J) = 0,64 T(J) + 0,24 T(J-1) + 0,12 T(J-2)</t>
    </r>
  </si>
  <si>
    <r>
      <t xml:space="preserve">L'exemple du calcul d'estimation porte sur le jour J = </t>
    </r>
    <r>
      <rPr>
        <b/>
        <i/>
        <sz val="10"/>
        <rFont val="Arial"/>
        <family val="2"/>
      </rPr>
      <t>mardi 1 décembre 2026</t>
    </r>
  </si>
  <si>
    <t>Le 1er décembre 2026 est un jour ouvré donc le coefficient s est égal à 1 (onglet Profils).</t>
  </si>
  <si>
    <r>
      <t>Coefficients Tcc par profil et par station météorologique pour le calcul de la CAR applicable du 1</t>
    </r>
    <r>
      <rPr>
        <b/>
        <vertAlign val="superscript"/>
        <sz val="11"/>
        <rFont val="Arial"/>
        <family val="2"/>
      </rPr>
      <t>er</t>
    </r>
    <r>
      <rPr>
        <b/>
        <sz val="11"/>
        <rFont val="Arial"/>
        <family val="2"/>
      </rPr>
      <t xml:space="preserve"> avril 2026 au 31 mars 2027</t>
    </r>
  </si>
  <si>
    <t>Si 0,50 &lt; PH brute &lt; 1 : PH corrigée = (0,7426 * PH brute) + 0,1514</t>
  </si>
  <si>
    <r>
      <t>CORRECTION CLIMATIQUE DE LA PART HIVER POUR LES CLIENTS A RELEVE 
MENSUEL OU QUOTIDIEN PREALABLEMENT A L’ATTRIBUTION DES 
PROFILS  APPLICABLES À PARTIR DU 1</t>
    </r>
    <r>
      <rPr>
        <b/>
        <vertAlign val="superscript"/>
        <sz val="10"/>
        <rFont val="Arial"/>
        <family val="2"/>
      </rPr>
      <t>ER</t>
    </r>
    <r>
      <rPr>
        <b/>
        <sz val="10"/>
        <rFont val="Arial"/>
        <family val="2"/>
      </rPr>
      <t xml:space="preserve"> AVRIL 2026</t>
    </r>
  </si>
  <si>
    <t>La formule de correction sur la part hiver brute de l'année gazière [novembre 2024 - octobre 2025], identique sur tout le territoire français, est la suivante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</si>
</sst>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00"/>
    <numFmt numFmtId="165" formatCode="0.00000000"/>
    <numFmt numFmtId="166" formatCode="0.000;\-0.000"/>
    <numFmt numFmtId="167" formatCode="0.000000"/>
    <numFmt numFmtId="168" formatCode="0.000000;\-0.000000"/>
    <numFmt numFmtId="169" formatCode="_-* #,##0.0000_-;\-* #,##0.0000_-;_-* &quot;-&quot;??_-;_-@_-"/>
  </numFmts>
  <fonts count="53" x14ac:knownFonts="1">
    <font>
      <sz val="10"/>
      <name val="Arial"/>
    </font>
    <font>
      <b/>
      <sz val="10"/>
      <name val="Arial"/>
      <family val="2"/>
    </font>
    <font>
      <b/>
      <vertAlign val="subscript"/>
      <sz val="10"/>
      <name val="Arial"/>
      <family val="2"/>
    </font>
    <font>
      <b/>
      <sz val="12"/>
      <name val="Arial"/>
      <family val="2"/>
    </font>
    <font>
      <sz val="10"/>
      <name val="Arial"/>
      <family val="2"/>
    </font>
    <font>
      <sz val="10"/>
      <color indexed="8"/>
      <name val="Arial"/>
      <family val="2"/>
    </font>
    <font>
      <i/>
      <sz val="10"/>
      <name val="Arial"/>
      <family val="2"/>
    </font>
    <font>
      <b/>
      <u/>
      <sz val="11"/>
      <name val="Arial"/>
      <family val="2"/>
    </font>
    <font>
      <sz val="11"/>
      <name val="Arial"/>
      <family val="2"/>
    </font>
    <font>
      <b/>
      <i/>
      <u/>
      <sz val="11"/>
      <name val="Arial"/>
      <family val="2"/>
    </font>
    <font>
      <vertAlign val="subscript"/>
      <sz val="10"/>
      <name val="Arial"/>
      <family val="2"/>
    </font>
    <font>
      <b/>
      <i/>
      <u/>
      <sz val="10"/>
      <name val="Arial"/>
      <family val="2"/>
    </font>
    <font>
      <sz val="10"/>
      <color indexed="10"/>
      <name val="Arial"/>
      <family val="2"/>
    </font>
    <font>
      <b/>
      <i/>
      <sz val="10"/>
      <name val="Arial"/>
      <family val="2"/>
    </font>
    <font>
      <b/>
      <i/>
      <vertAlign val="subscript"/>
      <sz val="10"/>
      <name val="Arial"/>
      <family val="2"/>
    </font>
    <font>
      <b/>
      <sz val="10"/>
      <color indexed="57"/>
      <name val="Arial"/>
      <family val="2"/>
    </font>
    <font>
      <i/>
      <u/>
      <sz val="10"/>
      <name val="Arial"/>
      <family val="2"/>
    </font>
    <font>
      <b/>
      <sz val="11"/>
      <name val="Arial"/>
      <family val="2"/>
    </font>
    <font>
      <vertAlign val="superscript"/>
      <sz val="10"/>
      <name val="Arial"/>
      <family val="2"/>
    </font>
    <font>
      <b/>
      <i/>
      <u/>
      <vertAlign val="superscript"/>
      <sz val="11"/>
      <name val="Arial"/>
      <family val="2"/>
    </font>
    <font>
      <i/>
      <vertAlign val="superscript"/>
      <sz val="10"/>
      <name val="Arial"/>
      <family val="2"/>
    </font>
    <font>
      <i/>
      <u/>
      <vertAlign val="superscript"/>
      <sz val="10"/>
      <name val="Arial"/>
      <family val="2"/>
    </font>
    <font>
      <sz val="10"/>
      <name val="Arial"/>
      <family val="2"/>
    </font>
    <font>
      <b/>
      <vertAlign val="superscript"/>
      <sz val="11"/>
      <name val="Arial"/>
      <family val="2"/>
    </font>
    <font>
      <sz val="7"/>
      <name val="Arial"/>
      <family val="2"/>
    </font>
    <font>
      <b/>
      <vertAlign val="superscript"/>
      <sz val="10"/>
      <name val="Arial"/>
      <family val="2"/>
    </font>
    <font>
      <u/>
      <sz val="10"/>
      <name val="Arial"/>
      <family val="2"/>
    </font>
    <font>
      <sz val="11"/>
      <color theme="1"/>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sz val="11"/>
      <color rgb="FFFA7D00"/>
      <name val="Calibri"/>
      <family val="2"/>
      <scheme val="minor"/>
    </font>
    <font>
      <sz val="11"/>
      <color rgb="FF3F3F76"/>
      <name val="Calibri"/>
      <family val="2"/>
      <scheme val="minor"/>
    </font>
    <font>
      <sz val="11"/>
      <color rgb="FF9C0006"/>
      <name val="Calibri"/>
      <family val="2"/>
      <scheme val="minor"/>
    </font>
    <font>
      <u/>
      <sz val="10"/>
      <color theme="10"/>
      <name val="Arial"/>
      <family val="2"/>
    </font>
    <font>
      <sz val="11"/>
      <color rgb="FF9C6500"/>
      <name val="Calibri"/>
      <family val="2"/>
      <scheme val="minor"/>
    </font>
    <font>
      <sz val="10"/>
      <color rgb="FF000000"/>
      <name val="Arial"/>
      <family val="2"/>
    </font>
    <font>
      <sz val="11"/>
      <color rgb="FF006100"/>
      <name val="Calibri"/>
      <family val="2"/>
      <scheme val="minor"/>
    </font>
    <font>
      <b/>
      <sz val="11"/>
      <color rgb="FF3F3F3F"/>
      <name val="Calibri"/>
      <family val="2"/>
      <scheme val="minor"/>
    </font>
    <font>
      <i/>
      <sz val="11"/>
      <color rgb="FF7F7F7F"/>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b/>
      <sz val="11"/>
      <color theme="1"/>
      <name val="Calibri"/>
      <family val="2"/>
      <scheme val="minor"/>
    </font>
    <font>
      <b/>
      <sz val="11"/>
      <color theme="0"/>
      <name val="Calibri"/>
      <family val="2"/>
      <scheme val="minor"/>
    </font>
    <font>
      <sz val="10"/>
      <color rgb="FFFF0000"/>
      <name val="Arial"/>
      <family val="2"/>
    </font>
    <font>
      <sz val="10"/>
      <color theme="1"/>
      <name val="Arial"/>
      <family val="2"/>
    </font>
    <font>
      <b/>
      <sz val="10"/>
      <color rgb="FFFF0000"/>
      <name val="Arial"/>
      <family val="2"/>
    </font>
    <font>
      <b/>
      <sz val="10"/>
      <color theme="1"/>
      <name val="Arial"/>
      <family val="2"/>
    </font>
    <font>
      <sz val="10"/>
      <color rgb="FF2F5496"/>
      <name val="Arial"/>
      <family val="2"/>
    </font>
    <font>
      <sz val="10"/>
      <name val="Arial"/>
      <family val="2"/>
    </font>
    <font>
      <sz val="11"/>
      <color rgb="FF000000"/>
      <name val="Calibri"/>
      <family val="2"/>
    </font>
  </fonts>
  <fills count="38">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2F2F2"/>
      </patternFill>
    </fill>
    <fill>
      <patternFill patternType="solid">
        <fgColor rgb="FFFFFFCC"/>
      </patternFill>
    </fill>
    <fill>
      <patternFill patternType="solid">
        <fgColor rgb="FFFFCC99"/>
      </patternFill>
    </fill>
    <fill>
      <patternFill patternType="solid">
        <fgColor rgb="FFFFC7CE"/>
      </patternFill>
    </fill>
    <fill>
      <patternFill patternType="solid">
        <fgColor rgb="FFFFEB9C"/>
      </patternFill>
    </fill>
    <fill>
      <patternFill patternType="solid">
        <fgColor rgb="FFC6EFCE"/>
      </patternFill>
    </fill>
    <fill>
      <patternFill patternType="solid">
        <fgColor rgb="FFA5A5A5"/>
      </patternFill>
    </fill>
    <fill>
      <patternFill patternType="solid">
        <fgColor theme="0" tint="-0.34998626667073579"/>
        <bgColor indexed="64"/>
      </patternFill>
    </fill>
    <fill>
      <patternFill patternType="solid">
        <fgColor theme="2"/>
        <bgColor indexed="64"/>
      </patternFill>
    </fill>
    <fill>
      <patternFill patternType="solid">
        <fgColor rgb="FFC0C0C0"/>
        <bgColor indexed="64"/>
      </patternFill>
    </fill>
  </fills>
  <borders count="2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s>
  <cellStyleXfs count="48">
    <xf numFmtId="0" fontId="0" fillId="0" borderId="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2" borderId="0" applyNumberFormat="0" applyBorder="0" applyAlignment="0" applyProtection="0"/>
    <xf numFmtId="0" fontId="27" fillId="13" borderId="0" applyNumberFormat="0" applyBorder="0" applyAlignment="0" applyProtection="0"/>
    <xf numFmtId="0" fontId="27" fillId="14" borderId="0" applyNumberFormat="0" applyBorder="0" applyAlignment="0" applyProtection="0"/>
    <xf numFmtId="0" fontId="27" fillId="15"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8" fillId="20" borderId="0" applyNumberFormat="0" applyBorder="0" applyAlignment="0" applyProtection="0"/>
    <xf numFmtId="0" fontId="28" fillId="21" borderId="0" applyNumberFormat="0" applyBorder="0" applyAlignment="0" applyProtection="0"/>
    <xf numFmtId="0" fontId="28" fillId="22" borderId="0" applyNumberFormat="0" applyBorder="0" applyAlignment="0" applyProtection="0"/>
    <xf numFmtId="0" fontId="28" fillId="23" borderId="0" applyNumberFormat="0" applyBorder="0" applyAlignment="0" applyProtection="0"/>
    <xf numFmtId="0" fontId="28" fillId="24" borderId="0" applyNumberFormat="0" applyBorder="0" applyAlignment="0" applyProtection="0"/>
    <xf numFmtId="0" fontId="28" fillId="25"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29" fillId="0" borderId="0" applyNumberFormat="0" applyFill="0" applyBorder="0" applyAlignment="0" applyProtection="0"/>
    <xf numFmtId="0" fontId="30" fillId="28" borderId="5" applyNumberFormat="0" applyAlignment="0" applyProtection="0"/>
    <xf numFmtId="0" fontId="31" fillId="0" borderId="6" applyNumberFormat="0" applyFill="0" applyAlignment="0" applyProtection="0"/>
    <xf numFmtId="0" fontId="27" fillId="29" borderId="7" applyNumberFormat="0" applyFont="0" applyAlignment="0" applyProtection="0"/>
    <xf numFmtId="0" fontId="32" fillId="30" borderId="5" applyNumberFormat="0" applyAlignment="0" applyProtection="0"/>
    <xf numFmtId="0" fontId="33" fillId="31" borderId="0" applyNumberFormat="0" applyBorder="0" applyAlignment="0" applyProtection="0"/>
    <xf numFmtId="0" fontId="34" fillId="0" borderId="0" applyNumberFormat="0" applyFill="0" applyBorder="0" applyAlignment="0" applyProtection="0">
      <alignment vertical="top"/>
      <protection locked="0"/>
    </xf>
    <xf numFmtId="0" fontId="35" fillId="32" borderId="0" applyNumberFormat="0" applyBorder="0" applyAlignment="0" applyProtection="0"/>
    <xf numFmtId="0" fontId="36" fillId="0" borderId="0"/>
    <xf numFmtId="0" fontId="27" fillId="0" borderId="0"/>
    <xf numFmtId="0" fontId="22" fillId="0" borderId="0"/>
    <xf numFmtId="0" fontId="37" fillId="33" borderId="0" applyNumberFormat="0" applyBorder="0" applyAlignment="0" applyProtection="0"/>
    <xf numFmtId="0" fontId="38" fillId="28" borderId="8" applyNumberFormat="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0" borderId="9" applyNumberFormat="0" applyFill="0" applyAlignment="0" applyProtection="0"/>
    <xf numFmtId="0" fontId="42" fillId="0" borderId="10" applyNumberFormat="0" applyFill="0" applyAlignment="0" applyProtection="0"/>
    <xf numFmtId="0" fontId="43" fillId="0" borderId="11" applyNumberFormat="0" applyFill="0" applyAlignment="0" applyProtection="0"/>
    <xf numFmtId="0" fontId="43" fillId="0" borderId="0" applyNumberFormat="0" applyFill="0" applyBorder="0" applyAlignment="0" applyProtection="0"/>
    <xf numFmtId="0" fontId="44" fillId="0" borderId="12" applyNumberFormat="0" applyFill="0" applyAlignment="0" applyProtection="0"/>
    <xf numFmtId="0" fontId="45" fillId="34" borderId="13" applyNumberFormat="0" applyAlignment="0" applyProtection="0"/>
    <xf numFmtId="9" fontId="51" fillId="0" borderId="0" applyFont="0" applyFill="0" applyBorder="0" applyAlignment="0" applyProtection="0"/>
    <xf numFmtId="43" fontId="51" fillId="0" borderId="0" applyFont="0" applyFill="0" applyBorder="0" applyAlignment="0" applyProtection="0"/>
  </cellStyleXfs>
  <cellXfs count="137">
    <xf numFmtId="0" fontId="0" fillId="0" borderId="0" xfId="0"/>
    <xf numFmtId="0" fontId="0" fillId="2" borderId="0" xfId="0" applyFill="1" applyAlignment="1">
      <alignment horizontal="left"/>
    </xf>
    <xf numFmtId="0" fontId="0" fillId="2" borderId="0" xfId="0" applyFill="1" applyAlignment="1">
      <alignment horizontal="left" vertical="center" wrapText="1"/>
    </xf>
    <xf numFmtId="0" fontId="0" fillId="2" borderId="0" xfId="0" applyFill="1"/>
    <xf numFmtId="0" fontId="3" fillId="0" borderId="0" xfId="0" applyFont="1" applyAlignment="1">
      <alignment vertical="center"/>
    </xf>
    <xf numFmtId="0" fontId="4" fillId="0" borderId="0" xfId="0" applyFont="1" applyAlignment="1">
      <alignment horizontal="center"/>
    </xf>
    <xf numFmtId="0" fontId="4" fillId="0" borderId="0" xfId="0" applyFont="1"/>
    <xf numFmtId="0" fontId="5" fillId="0" borderId="0" xfId="0" applyFont="1"/>
    <xf numFmtId="0" fontId="7" fillId="2" borderId="0" xfId="0" applyFont="1" applyFill="1"/>
    <xf numFmtId="0" fontId="8" fillId="0" borderId="0" xfId="0" applyFont="1"/>
    <xf numFmtId="0" fontId="9" fillId="0" borderId="0" xfId="0" applyFont="1"/>
    <xf numFmtId="0" fontId="11" fillId="0" borderId="0" xfId="0" applyFont="1"/>
    <xf numFmtId="0" fontId="4" fillId="0" borderId="0" xfId="0" applyFont="1" applyAlignment="1">
      <alignment horizontal="right"/>
    </xf>
    <xf numFmtId="0" fontId="12" fillId="0" borderId="0" xfId="0" applyFont="1"/>
    <xf numFmtId="0" fontId="1" fillId="0" borderId="0" xfId="0" applyFont="1"/>
    <xf numFmtId="0" fontId="13" fillId="0" borderId="1" xfId="0" applyFont="1" applyBorder="1"/>
    <xf numFmtId="0" fontId="1" fillId="0" borderId="2" xfId="0" applyFont="1" applyBorder="1"/>
    <xf numFmtId="0" fontId="1" fillId="0" borderId="3" xfId="0" applyFont="1" applyBorder="1"/>
    <xf numFmtId="0" fontId="13" fillId="0" borderId="0" xfId="0" applyFont="1"/>
    <xf numFmtId="0" fontId="6" fillId="0" borderId="0" xfId="0" applyFont="1"/>
    <xf numFmtId="164" fontId="4" fillId="0" borderId="0" xfId="0" applyNumberFormat="1" applyFont="1"/>
    <xf numFmtId="0" fontId="15" fillId="0" borderId="0" xfId="0" applyFont="1"/>
    <xf numFmtId="0" fontId="0" fillId="0" borderId="0" xfId="0" applyAlignment="1">
      <alignment vertical="top"/>
    </xf>
    <xf numFmtId="0" fontId="12" fillId="2" borderId="0" xfId="0" applyFont="1" applyFill="1"/>
    <xf numFmtId="0" fontId="0" fillId="0" borderId="0" xfId="0" applyAlignment="1">
      <alignment horizontal="center"/>
    </xf>
    <xf numFmtId="0" fontId="46" fillId="0" borderId="0" xfId="0" applyFont="1"/>
    <xf numFmtId="0" fontId="4" fillId="0" borderId="0" xfId="0" applyFont="1" applyAlignment="1">
      <alignment wrapText="1"/>
    </xf>
    <xf numFmtId="0" fontId="47" fillId="0" borderId="0" xfId="0" applyFont="1"/>
    <xf numFmtId="0" fontId="3" fillId="0" borderId="0" xfId="0" applyFont="1" applyAlignment="1">
      <alignment vertical="center" wrapText="1"/>
    </xf>
    <xf numFmtId="0" fontId="4" fillId="2" borderId="0" xfId="0" applyFont="1" applyFill="1"/>
    <xf numFmtId="0" fontId="4" fillId="2" borderId="0" xfId="0" applyFont="1" applyFill="1" applyAlignment="1">
      <alignment horizontal="center"/>
    </xf>
    <xf numFmtId="0" fontId="4" fillId="2" borderId="0" xfId="0" applyFont="1" applyFill="1" applyAlignment="1">
      <alignment horizontal="left"/>
    </xf>
    <xf numFmtId="2" fontId="4" fillId="2" borderId="0" xfId="0" applyNumberFormat="1" applyFont="1" applyFill="1" applyAlignment="1">
      <alignment horizontal="center"/>
    </xf>
    <xf numFmtId="0" fontId="1" fillId="3" borderId="4" xfId="0" applyFont="1" applyFill="1" applyBorder="1" applyAlignment="1">
      <alignment horizontal="center" vertical="center"/>
    </xf>
    <xf numFmtId="0" fontId="0" fillId="2" borderId="0" xfId="0" applyFill="1" applyAlignment="1">
      <alignment horizontal="center"/>
    </xf>
    <xf numFmtId="0" fontId="1" fillId="3" borderId="4" xfId="0" applyFont="1" applyFill="1" applyBorder="1" applyAlignment="1">
      <alignment horizontal="center" vertical="center" wrapText="1"/>
    </xf>
    <xf numFmtId="2" fontId="1" fillId="3" borderId="4" xfId="0" applyNumberFormat="1" applyFont="1" applyFill="1" applyBorder="1" applyAlignment="1">
      <alignment horizontal="center" vertical="center" wrapText="1"/>
    </xf>
    <xf numFmtId="0" fontId="4" fillId="2" borderId="4" xfId="0" applyFont="1" applyFill="1" applyBorder="1" applyAlignment="1">
      <alignment horizontal="center"/>
    </xf>
    <xf numFmtId="0" fontId="48" fillId="3" borderId="4" xfId="0" applyFont="1" applyFill="1" applyBorder="1" applyAlignment="1">
      <alignment horizontal="center" vertical="center" wrapText="1"/>
    </xf>
    <xf numFmtId="0" fontId="4" fillId="2" borderId="4" xfId="0" applyFont="1" applyFill="1" applyBorder="1" applyAlignment="1">
      <alignment horizontal="center" vertical="center"/>
    </xf>
    <xf numFmtId="0" fontId="46" fillId="2" borderId="4" xfId="0" applyFont="1" applyFill="1" applyBorder="1" applyAlignment="1">
      <alignment horizontal="center" vertical="center"/>
    </xf>
    <xf numFmtId="0" fontId="1" fillId="35" borderId="4" xfId="0" applyFont="1" applyFill="1" applyBorder="1" applyAlignment="1">
      <alignment horizontal="center"/>
    </xf>
    <xf numFmtId="0" fontId="4" fillId="0" borderId="4" xfId="0" applyFont="1" applyBorder="1" applyAlignment="1">
      <alignment horizontal="center"/>
    </xf>
    <xf numFmtId="14" fontId="4" fillId="0" borderId="4" xfId="0" applyNumberFormat="1" applyFont="1" applyBorder="1" applyAlignment="1">
      <alignment horizontal="center"/>
    </xf>
    <xf numFmtId="0" fontId="4" fillId="0" borderId="0" xfId="0" applyFont="1" applyAlignment="1">
      <alignment horizontal="justify"/>
    </xf>
    <xf numFmtId="0" fontId="4" fillId="0" borderId="0" xfId="0" quotePrefix="1" applyFont="1" applyAlignment="1">
      <alignment horizontal="center"/>
    </xf>
    <xf numFmtId="0" fontId="4" fillId="0" borderId="0" xfId="0" applyFont="1" applyAlignment="1">
      <alignment horizontal="center" wrapText="1"/>
    </xf>
    <xf numFmtId="0" fontId="0" fillId="0" borderId="4" xfId="0" applyBorder="1" applyAlignment="1">
      <alignment horizontal="center" vertical="center"/>
    </xf>
    <xf numFmtId="0" fontId="4" fillId="36" borderId="4" xfId="0" applyFont="1" applyFill="1" applyBorder="1" applyAlignment="1">
      <alignment horizontal="center"/>
    </xf>
    <xf numFmtId="14" fontId="4" fillId="36" borderId="4" xfId="0" applyNumberFormat="1" applyFont="1" applyFill="1" applyBorder="1" applyAlignment="1">
      <alignment horizontal="center"/>
    </xf>
    <xf numFmtId="0" fontId="49" fillId="37" borderId="4" xfId="0" applyFont="1" applyFill="1" applyBorder="1" applyAlignment="1">
      <alignment horizontal="center"/>
    </xf>
    <xf numFmtId="0" fontId="0" fillId="0" borderId="4" xfId="0" applyBorder="1" applyAlignment="1">
      <alignment horizontal="center"/>
    </xf>
    <xf numFmtId="0" fontId="0" fillId="0" borderId="0" xfId="0" applyAlignment="1">
      <alignment horizontal="right"/>
    </xf>
    <xf numFmtId="0" fontId="12" fillId="2" borderId="0" xfId="0" applyFont="1" applyFill="1" applyAlignment="1">
      <alignment horizontal="center"/>
    </xf>
    <xf numFmtId="0" fontId="0" fillId="0" borderId="0" xfId="0" quotePrefix="1"/>
    <xf numFmtId="0" fontId="4" fillId="0" borderId="4" xfId="0" quotePrefix="1" applyFont="1" applyBorder="1" applyAlignment="1">
      <alignment horizontal="center"/>
    </xf>
    <xf numFmtId="0" fontId="50" fillId="0" borderId="0" xfId="0" applyFont="1"/>
    <xf numFmtId="0" fontId="1" fillId="0" borderId="0" xfId="0" applyFont="1" applyAlignment="1">
      <alignment horizontal="center"/>
    </xf>
    <xf numFmtId="0" fontId="6" fillId="0" borderId="0" xfId="0" applyFont="1" applyAlignment="1">
      <alignment horizontal="justify" vertical="top"/>
    </xf>
    <xf numFmtId="0" fontId="0" fillId="0" borderId="14" xfId="0" applyBorder="1"/>
    <xf numFmtId="0" fontId="0" fillId="0" borderId="16" xfId="0" applyBorder="1"/>
    <xf numFmtId="0" fontId="4" fillId="0" borderId="17" xfId="0" applyFont="1" applyBorder="1" applyAlignment="1">
      <alignment horizontal="justify" vertical="top"/>
    </xf>
    <xf numFmtId="0" fontId="1" fillId="0" borderId="16" xfId="0" applyFont="1" applyBorder="1" applyAlignment="1">
      <alignment horizontal="justify" vertical="top"/>
    </xf>
    <xf numFmtId="10" fontId="1" fillId="0" borderId="17" xfId="46" applyNumberFormat="1" applyFont="1" applyBorder="1" applyAlignment="1">
      <alignment horizontal="justify" vertical="top"/>
    </xf>
    <xf numFmtId="0" fontId="1" fillId="0" borderId="18" xfId="0" applyFont="1" applyBorder="1" applyAlignment="1">
      <alignment horizontal="justify" vertical="top"/>
    </xf>
    <xf numFmtId="10" fontId="1" fillId="0" borderId="19" xfId="46" applyNumberFormat="1" applyFont="1" applyBorder="1" applyAlignment="1">
      <alignment horizontal="justify" vertical="top"/>
    </xf>
    <xf numFmtId="0" fontId="26" fillId="0" borderId="17" xfId="0" applyFont="1" applyBorder="1" applyAlignment="1">
      <alignment horizontal="justify" vertical="top"/>
    </xf>
    <xf numFmtId="0" fontId="34" fillId="0" borderId="17" xfId="31" applyBorder="1" applyAlignment="1" applyProtection="1">
      <alignment horizontal="justify" vertical="top"/>
    </xf>
    <xf numFmtId="0" fontId="0" fillId="0" borderId="18" xfId="0" applyBorder="1"/>
    <xf numFmtId="0" fontId="6" fillId="0" borderId="19" xfId="0" applyFont="1" applyBorder="1" applyAlignment="1">
      <alignment horizontal="justify" vertical="top"/>
    </xf>
    <xf numFmtId="0" fontId="4" fillId="0" borderId="15" xfId="0" applyFont="1" applyBorder="1" applyAlignment="1">
      <alignment horizontal="justify" vertical="top"/>
    </xf>
    <xf numFmtId="0" fontId="0" fillId="0" borderId="0" xfId="0" applyAlignment="1">
      <alignment vertical="center"/>
    </xf>
    <xf numFmtId="1" fontId="0" fillId="2" borderId="0" xfId="0" applyNumberFormat="1" applyFill="1" applyAlignment="1">
      <alignment horizontal="center"/>
    </xf>
    <xf numFmtId="0" fontId="0" fillId="0" borderId="1" xfId="0" applyBorder="1" applyAlignment="1">
      <alignment horizontal="center"/>
    </xf>
    <xf numFmtId="0" fontId="49" fillId="37" borderId="21" xfId="0" applyFont="1" applyFill="1" applyBorder="1" applyAlignment="1">
      <alignment horizontal="center"/>
    </xf>
    <xf numFmtId="165" fontId="49" fillId="37" borderId="21" xfId="0" applyNumberFormat="1" applyFont="1" applyFill="1" applyBorder="1" applyAlignment="1">
      <alignment horizontal="center"/>
    </xf>
    <xf numFmtId="0" fontId="4" fillId="0" borderId="1" xfId="0" applyFont="1" applyFill="1" applyBorder="1" applyAlignment="1">
      <alignment horizontal="center" vertical="center"/>
    </xf>
    <xf numFmtId="0" fontId="52" fillId="0" borderId="0" xfId="0" applyFont="1"/>
    <xf numFmtId="11" fontId="52" fillId="0" borderId="0" xfId="0" applyNumberFormat="1" applyFont="1"/>
    <xf numFmtId="43" fontId="0" fillId="2" borderId="0" xfId="47" applyFont="1" applyFill="1" applyAlignment="1">
      <alignment horizontal="left" vertical="center" wrapText="1"/>
    </xf>
    <xf numFmtId="169" fontId="0" fillId="2" borderId="0" xfId="47" applyNumberFormat="1" applyFont="1" applyFill="1" applyAlignment="1">
      <alignment horizontal="left" vertical="center" wrapText="1"/>
    </xf>
    <xf numFmtId="1" fontId="52" fillId="0" borderId="20" xfId="0" applyNumberFormat="1" applyFont="1" applyFill="1" applyBorder="1" applyAlignment="1"/>
    <xf numFmtId="0" fontId="0" fillId="0" borderId="4" xfId="0" applyFill="1" applyBorder="1" applyAlignment="1">
      <alignment horizontal="center"/>
    </xf>
    <xf numFmtId="0" fontId="13" fillId="0" borderId="14" xfId="0" applyFont="1" applyBorder="1"/>
    <xf numFmtId="0" fontId="6" fillId="0" borderId="22" xfId="0" applyFont="1" applyBorder="1"/>
    <xf numFmtId="0" fontId="6" fillId="0" borderId="15" xfId="0" applyFont="1" applyBorder="1"/>
    <xf numFmtId="0" fontId="6" fillId="0" borderId="16" xfId="0" applyFont="1" applyBorder="1"/>
    <xf numFmtId="0" fontId="13" fillId="0" borderId="0" xfId="0" applyFont="1" applyBorder="1"/>
    <xf numFmtId="0" fontId="6" fillId="0" borderId="0" xfId="0" applyFont="1" applyBorder="1"/>
    <xf numFmtId="0" fontId="6" fillId="0" borderId="17" xfId="0" applyFont="1" applyBorder="1"/>
    <xf numFmtId="0" fontId="13" fillId="0" borderId="0" xfId="0" quotePrefix="1" applyFont="1" applyBorder="1"/>
    <xf numFmtId="0" fontId="0" fillId="0" borderId="17" xfId="0" applyBorder="1" applyAlignment="1">
      <alignment horizontal="center" vertical="top" wrapText="1"/>
    </xf>
    <xf numFmtId="0" fontId="16" fillId="0" borderId="16" xfId="0" applyFont="1" applyBorder="1"/>
    <xf numFmtId="0" fontId="13" fillId="0" borderId="16" xfId="0" applyFont="1" applyBorder="1" applyAlignment="1">
      <alignment horizontal="right"/>
    </xf>
    <xf numFmtId="0" fontId="13" fillId="0" borderId="16" xfId="0" applyFont="1" applyBorder="1"/>
    <xf numFmtId="0" fontId="4" fillId="0" borderId="0" xfId="0" applyFont="1" applyBorder="1"/>
    <xf numFmtId="0" fontId="4" fillId="0" borderId="17" xfId="0" applyFont="1" applyBorder="1"/>
    <xf numFmtId="167" fontId="13" fillId="2" borderId="0" xfId="0" applyNumberFormat="1" applyFont="1" applyFill="1" applyBorder="1" applyAlignment="1">
      <alignment horizontal="left"/>
    </xf>
    <xf numFmtId="165" fontId="6" fillId="0" borderId="0" xfId="0" applyNumberFormat="1" applyFont="1" applyBorder="1"/>
    <xf numFmtId="165" fontId="6" fillId="0" borderId="17" xfId="0" applyNumberFormat="1" applyFont="1" applyBorder="1"/>
    <xf numFmtId="165" fontId="13" fillId="0" borderId="0" xfId="0" applyNumberFormat="1" applyFont="1" applyBorder="1" applyAlignment="1">
      <alignment horizontal="center" vertical="center"/>
    </xf>
    <xf numFmtId="166" fontId="6" fillId="2" borderId="0" xfId="0" applyNumberFormat="1" applyFont="1" applyFill="1" applyBorder="1" applyAlignment="1">
      <alignment horizontal="center"/>
    </xf>
    <xf numFmtId="165" fontId="13" fillId="0" borderId="16" xfId="0" applyNumberFormat="1" applyFont="1" applyBorder="1" applyAlignment="1">
      <alignment horizontal="right" vertical="center"/>
    </xf>
    <xf numFmtId="168" fontId="6" fillId="2" borderId="0" xfId="0" applyNumberFormat="1" applyFont="1" applyFill="1" applyBorder="1" applyAlignment="1">
      <alignment horizontal="center"/>
    </xf>
    <xf numFmtId="0" fontId="6" fillId="0" borderId="0" xfId="0" applyFont="1" applyBorder="1" applyAlignment="1">
      <alignment horizontal="right"/>
    </xf>
    <xf numFmtId="0" fontId="6" fillId="0" borderId="0" xfId="0" quotePrefix="1" applyFont="1" applyBorder="1"/>
    <xf numFmtId="165" fontId="13" fillId="0" borderId="0" xfId="0" applyNumberFormat="1" applyFont="1" applyBorder="1" applyAlignment="1">
      <alignment horizontal="left"/>
    </xf>
    <xf numFmtId="165" fontId="13" fillId="0" borderId="0" xfId="0" applyNumberFormat="1" applyFont="1" applyBorder="1"/>
    <xf numFmtId="0" fontId="13" fillId="0" borderId="0" xfId="0" applyFont="1" applyBorder="1" applyAlignment="1">
      <alignment horizontal="center"/>
    </xf>
    <xf numFmtId="1" fontId="13" fillId="0" borderId="0" xfId="0" applyNumberFormat="1" applyFont="1" applyBorder="1" applyAlignment="1">
      <alignment horizontal="center"/>
    </xf>
    <xf numFmtId="0" fontId="4" fillId="0" borderId="16" xfId="0" applyFont="1" applyBorder="1"/>
    <xf numFmtId="0" fontId="4" fillId="0" borderId="18" xfId="0" applyFont="1" applyBorder="1"/>
    <xf numFmtId="0" fontId="4" fillId="0" borderId="23" xfId="0" applyFont="1" applyBorder="1"/>
    <xf numFmtId="0" fontId="4" fillId="0" borderId="19" xfId="0" applyFont="1" applyBorder="1"/>
    <xf numFmtId="0" fontId="4" fillId="0" borderId="4" xfId="0" applyFont="1" applyFill="1" applyBorder="1" applyAlignment="1">
      <alignment horizontal="center"/>
    </xf>
    <xf numFmtId="0" fontId="4" fillId="0" borderId="0" xfId="0" applyFont="1" applyFill="1"/>
    <xf numFmtId="165" fontId="0" fillId="0" borderId="0" xfId="0" applyNumberFormat="1" applyAlignment="1">
      <alignment horizontal="center"/>
    </xf>
    <xf numFmtId="0" fontId="4" fillId="0" borderId="4" xfId="0" applyFont="1" applyBorder="1" applyAlignment="1">
      <alignment horizontal="center" vertical="center"/>
    </xf>
    <xf numFmtId="14" fontId="0" fillId="0" borderId="4" xfId="0" applyNumberFormat="1" applyBorder="1"/>
    <xf numFmtId="0" fontId="0" fillId="0" borderId="4" xfId="0" applyBorder="1"/>
    <xf numFmtId="0" fontId="17" fillId="0" borderId="0" xfId="0" applyFont="1" applyFill="1" applyAlignment="1">
      <alignment horizontal="left"/>
    </xf>
    <xf numFmtId="165" fontId="52" fillId="0" borderId="20" xfId="0" applyNumberFormat="1" applyFont="1" applyFill="1" applyBorder="1" applyAlignment="1"/>
    <xf numFmtId="0" fontId="1" fillId="0" borderId="0" xfId="0" applyFont="1" applyFill="1"/>
    <xf numFmtId="0" fontId="1" fillId="0" borderId="4" xfId="0" applyFont="1" applyFill="1" applyBorder="1" applyAlignment="1">
      <alignment horizontal="center" vertical="center" wrapText="1"/>
    </xf>
    <xf numFmtId="0" fontId="4" fillId="0" borderId="0" xfId="0" applyFont="1" applyFill="1" applyAlignment="1">
      <alignment horizontal="justify"/>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4" fillId="0" borderId="0" xfId="0" applyFont="1" applyAlignment="1">
      <alignment horizontal="left" vertical="center" wrapText="1"/>
    </xf>
    <xf numFmtId="0" fontId="4" fillId="0" borderId="16" xfId="0" applyFont="1" applyBorder="1" applyAlignment="1">
      <alignment horizontal="center" vertical="top"/>
    </xf>
    <xf numFmtId="0" fontId="4" fillId="0" borderId="17" xfId="0" applyFont="1" applyBorder="1" applyAlignment="1">
      <alignment horizontal="center" vertical="top"/>
    </xf>
    <xf numFmtId="0" fontId="4" fillId="0" borderId="16" xfId="0" applyFont="1" applyBorder="1" applyAlignment="1">
      <alignment horizontal="left" vertical="top"/>
    </xf>
    <xf numFmtId="0" fontId="4" fillId="0" borderId="17" xfId="0" applyFont="1" applyBorder="1" applyAlignment="1">
      <alignment horizontal="left" vertical="top"/>
    </xf>
    <xf numFmtId="0" fontId="1" fillId="0" borderId="16" xfId="0" applyFont="1" applyBorder="1" applyAlignment="1">
      <alignment horizontal="left" vertical="top"/>
    </xf>
    <xf numFmtId="0" fontId="1" fillId="0" borderId="17" xfId="0" applyFont="1" applyBorder="1" applyAlignment="1">
      <alignment horizontal="left" vertical="top"/>
    </xf>
  </cellXfs>
  <cellStyles count="48">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25" builtinId="11" customBuiltin="1"/>
    <cellStyle name="Calcul" xfId="26" builtinId="22" customBuiltin="1"/>
    <cellStyle name="Cellule liée" xfId="27" builtinId="24" customBuiltin="1"/>
    <cellStyle name="Commentaire 2" xfId="28" xr:uid="{00000000-0005-0000-0000-00001B000000}"/>
    <cellStyle name="Entrée" xfId="29" builtinId="20" customBuiltin="1"/>
    <cellStyle name="Insatisfaisant" xfId="30" builtinId="27" customBuiltin="1"/>
    <cellStyle name="Lien hypertexte" xfId="31" builtinId="8"/>
    <cellStyle name="Milliers" xfId="47" builtinId="3"/>
    <cellStyle name="Neutre" xfId="32" builtinId="28" customBuiltin="1"/>
    <cellStyle name="Normal" xfId="0" builtinId="0"/>
    <cellStyle name="Normal 11" xfId="33" xr:uid="{00000000-0005-0000-0000-000021000000}"/>
    <cellStyle name="Normal 2" xfId="34" xr:uid="{00000000-0005-0000-0000-000022000000}"/>
    <cellStyle name="Normal 6" xfId="35" xr:uid="{00000000-0005-0000-0000-000023000000}"/>
    <cellStyle name="Pourcentage" xfId="46" builtinId="5"/>
    <cellStyle name="Satisfaisant" xfId="36" builtinId="26" customBuiltin="1"/>
    <cellStyle name="Sortie" xfId="37" builtinId="21" customBuiltin="1"/>
    <cellStyle name="Texte explicatif" xfId="38" builtinId="53" customBuiltin="1"/>
    <cellStyle name="Titre" xfId="39" builtinId="15" customBuiltin="1"/>
    <cellStyle name="Titre 1" xfId="40" builtinId="16" customBuiltin="1"/>
    <cellStyle name="Titre 2" xfId="41" builtinId="17" customBuiltin="1"/>
    <cellStyle name="Titre 3" xfId="42" builtinId="18" customBuiltin="1"/>
    <cellStyle name="Titre 4" xfId="43" builtinId="19" customBuiltin="1"/>
    <cellStyle name="Total" xfId="44" builtinId="25" customBuiltin="1"/>
    <cellStyle name="Vérification" xfId="45" builtinId="23"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Profils!$D$1</c:f>
              <c:strCache>
                <c:ptCount val="1"/>
                <c:pt idx="0">
                  <c:v>P011</c:v>
                </c:pt>
              </c:strCache>
            </c:strRef>
          </c:tx>
          <c:spPr>
            <a:ln w="19050"/>
          </c:spPr>
          <c:marker>
            <c:symbol val="none"/>
          </c:marker>
          <c:cat>
            <c:numRef>
              <c:f>Profils!$B$2:$B$365</c:f>
              <c:numCache>
                <c:formatCode>m/d/yyyy</c:formatCode>
                <c:ptCount val="364"/>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pt idx="31">
                  <c:v>46144</c:v>
                </c:pt>
                <c:pt idx="32">
                  <c:v>46145</c:v>
                </c:pt>
                <c:pt idx="33">
                  <c:v>46146</c:v>
                </c:pt>
                <c:pt idx="34">
                  <c:v>46147</c:v>
                </c:pt>
                <c:pt idx="35">
                  <c:v>46148</c:v>
                </c:pt>
                <c:pt idx="36">
                  <c:v>46149</c:v>
                </c:pt>
                <c:pt idx="37">
                  <c:v>46150</c:v>
                </c:pt>
                <c:pt idx="38">
                  <c:v>46151</c:v>
                </c:pt>
                <c:pt idx="39">
                  <c:v>46152</c:v>
                </c:pt>
                <c:pt idx="40">
                  <c:v>46153</c:v>
                </c:pt>
                <c:pt idx="41">
                  <c:v>46154</c:v>
                </c:pt>
                <c:pt idx="42">
                  <c:v>46155</c:v>
                </c:pt>
                <c:pt idx="43">
                  <c:v>46156</c:v>
                </c:pt>
                <c:pt idx="44">
                  <c:v>46157</c:v>
                </c:pt>
                <c:pt idx="45">
                  <c:v>46158</c:v>
                </c:pt>
                <c:pt idx="46">
                  <c:v>46159</c:v>
                </c:pt>
                <c:pt idx="47">
                  <c:v>46160</c:v>
                </c:pt>
                <c:pt idx="48">
                  <c:v>46161</c:v>
                </c:pt>
                <c:pt idx="49">
                  <c:v>46162</c:v>
                </c:pt>
                <c:pt idx="50">
                  <c:v>46163</c:v>
                </c:pt>
                <c:pt idx="51">
                  <c:v>46164</c:v>
                </c:pt>
                <c:pt idx="52">
                  <c:v>46165</c:v>
                </c:pt>
                <c:pt idx="53">
                  <c:v>46166</c:v>
                </c:pt>
                <c:pt idx="54">
                  <c:v>46167</c:v>
                </c:pt>
                <c:pt idx="55">
                  <c:v>46168</c:v>
                </c:pt>
                <c:pt idx="56">
                  <c:v>46169</c:v>
                </c:pt>
                <c:pt idx="57">
                  <c:v>46170</c:v>
                </c:pt>
                <c:pt idx="58">
                  <c:v>46171</c:v>
                </c:pt>
                <c:pt idx="59">
                  <c:v>46172</c:v>
                </c:pt>
                <c:pt idx="60">
                  <c:v>46173</c:v>
                </c:pt>
                <c:pt idx="61">
                  <c:v>46174</c:v>
                </c:pt>
                <c:pt idx="62">
                  <c:v>46175</c:v>
                </c:pt>
                <c:pt idx="63">
                  <c:v>46176</c:v>
                </c:pt>
                <c:pt idx="64">
                  <c:v>46177</c:v>
                </c:pt>
                <c:pt idx="65">
                  <c:v>46178</c:v>
                </c:pt>
                <c:pt idx="66">
                  <c:v>46179</c:v>
                </c:pt>
                <c:pt idx="67">
                  <c:v>46180</c:v>
                </c:pt>
                <c:pt idx="68">
                  <c:v>46181</c:v>
                </c:pt>
                <c:pt idx="69">
                  <c:v>46182</c:v>
                </c:pt>
                <c:pt idx="70">
                  <c:v>46183</c:v>
                </c:pt>
                <c:pt idx="71">
                  <c:v>46184</c:v>
                </c:pt>
                <c:pt idx="72">
                  <c:v>46185</c:v>
                </c:pt>
                <c:pt idx="73">
                  <c:v>46186</c:v>
                </c:pt>
                <c:pt idx="74">
                  <c:v>46187</c:v>
                </c:pt>
                <c:pt idx="75">
                  <c:v>46188</c:v>
                </c:pt>
                <c:pt idx="76">
                  <c:v>46189</c:v>
                </c:pt>
                <c:pt idx="77">
                  <c:v>46190</c:v>
                </c:pt>
                <c:pt idx="78">
                  <c:v>46191</c:v>
                </c:pt>
                <c:pt idx="79">
                  <c:v>46192</c:v>
                </c:pt>
                <c:pt idx="80">
                  <c:v>46193</c:v>
                </c:pt>
                <c:pt idx="81">
                  <c:v>46194</c:v>
                </c:pt>
                <c:pt idx="82">
                  <c:v>46195</c:v>
                </c:pt>
                <c:pt idx="83">
                  <c:v>46196</c:v>
                </c:pt>
                <c:pt idx="84">
                  <c:v>46197</c:v>
                </c:pt>
                <c:pt idx="85">
                  <c:v>46198</c:v>
                </c:pt>
                <c:pt idx="86">
                  <c:v>46199</c:v>
                </c:pt>
                <c:pt idx="87">
                  <c:v>46200</c:v>
                </c:pt>
                <c:pt idx="88">
                  <c:v>46201</c:v>
                </c:pt>
                <c:pt idx="89">
                  <c:v>46202</c:v>
                </c:pt>
                <c:pt idx="90">
                  <c:v>46203</c:v>
                </c:pt>
                <c:pt idx="91">
                  <c:v>46204</c:v>
                </c:pt>
                <c:pt idx="92">
                  <c:v>46205</c:v>
                </c:pt>
                <c:pt idx="93">
                  <c:v>46206</c:v>
                </c:pt>
                <c:pt idx="94">
                  <c:v>46207</c:v>
                </c:pt>
                <c:pt idx="95">
                  <c:v>46208</c:v>
                </c:pt>
                <c:pt idx="96">
                  <c:v>46209</c:v>
                </c:pt>
                <c:pt idx="97">
                  <c:v>46210</c:v>
                </c:pt>
                <c:pt idx="98">
                  <c:v>46211</c:v>
                </c:pt>
                <c:pt idx="99">
                  <c:v>46212</c:v>
                </c:pt>
                <c:pt idx="100">
                  <c:v>46213</c:v>
                </c:pt>
                <c:pt idx="101">
                  <c:v>46214</c:v>
                </c:pt>
                <c:pt idx="102">
                  <c:v>46215</c:v>
                </c:pt>
                <c:pt idx="103">
                  <c:v>46216</c:v>
                </c:pt>
                <c:pt idx="104">
                  <c:v>46217</c:v>
                </c:pt>
                <c:pt idx="105">
                  <c:v>46218</c:v>
                </c:pt>
                <c:pt idx="106">
                  <c:v>46219</c:v>
                </c:pt>
                <c:pt idx="107">
                  <c:v>46220</c:v>
                </c:pt>
                <c:pt idx="108">
                  <c:v>46221</c:v>
                </c:pt>
                <c:pt idx="109">
                  <c:v>46222</c:v>
                </c:pt>
                <c:pt idx="110">
                  <c:v>46223</c:v>
                </c:pt>
                <c:pt idx="111">
                  <c:v>46224</c:v>
                </c:pt>
                <c:pt idx="112">
                  <c:v>46225</c:v>
                </c:pt>
                <c:pt idx="113">
                  <c:v>46226</c:v>
                </c:pt>
                <c:pt idx="114">
                  <c:v>46227</c:v>
                </c:pt>
                <c:pt idx="115">
                  <c:v>46228</c:v>
                </c:pt>
                <c:pt idx="116">
                  <c:v>46229</c:v>
                </c:pt>
                <c:pt idx="117">
                  <c:v>46230</c:v>
                </c:pt>
                <c:pt idx="118">
                  <c:v>46231</c:v>
                </c:pt>
                <c:pt idx="119">
                  <c:v>46232</c:v>
                </c:pt>
                <c:pt idx="120">
                  <c:v>46233</c:v>
                </c:pt>
                <c:pt idx="121">
                  <c:v>46234</c:v>
                </c:pt>
                <c:pt idx="122">
                  <c:v>46235</c:v>
                </c:pt>
                <c:pt idx="123">
                  <c:v>46236</c:v>
                </c:pt>
                <c:pt idx="124">
                  <c:v>46237</c:v>
                </c:pt>
                <c:pt idx="125">
                  <c:v>46238</c:v>
                </c:pt>
                <c:pt idx="126">
                  <c:v>46239</c:v>
                </c:pt>
                <c:pt idx="127">
                  <c:v>46240</c:v>
                </c:pt>
                <c:pt idx="128">
                  <c:v>46241</c:v>
                </c:pt>
                <c:pt idx="129">
                  <c:v>46242</c:v>
                </c:pt>
                <c:pt idx="130">
                  <c:v>46243</c:v>
                </c:pt>
                <c:pt idx="131">
                  <c:v>46244</c:v>
                </c:pt>
                <c:pt idx="132">
                  <c:v>46245</c:v>
                </c:pt>
                <c:pt idx="133">
                  <c:v>46246</c:v>
                </c:pt>
                <c:pt idx="134">
                  <c:v>46247</c:v>
                </c:pt>
                <c:pt idx="135">
                  <c:v>46248</c:v>
                </c:pt>
                <c:pt idx="136">
                  <c:v>46249</c:v>
                </c:pt>
                <c:pt idx="137">
                  <c:v>46250</c:v>
                </c:pt>
                <c:pt idx="138">
                  <c:v>46251</c:v>
                </c:pt>
                <c:pt idx="139">
                  <c:v>46252</c:v>
                </c:pt>
                <c:pt idx="140">
                  <c:v>46253</c:v>
                </c:pt>
                <c:pt idx="141">
                  <c:v>46254</c:v>
                </c:pt>
                <c:pt idx="142">
                  <c:v>46255</c:v>
                </c:pt>
                <c:pt idx="143">
                  <c:v>46256</c:v>
                </c:pt>
                <c:pt idx="144">
                  <c:v>46257</c:v>
                </c:pt>
                <c:pt idx="145">
                  <c:v>46258</c:v>
                </c:pt>
                <c:pt idx="146">
                  <c:v>46259</c:v>
                </c:pt>
                <c:pt idx="147">
                  <c:v>46260</c:v>
                </c:pt>
                <c:pt idx="148">
                  <c:v>46261</c:v>
                </c:pt>
                <c:pt idx="149">
                  <c:v>46262</c:v>
                </c:pt>
                <c:pt idx="150">
                  <c:v>46263</c:v>
                </c:pt>
                <c:pt idx="151">
                  <c:v>46264</c:v>
                </c:pt>
                <c:pt idx="152">
                  <c:v>46265</c:v>
                </c:pt>
                <c:pt idx="153">
                  <c:v>46266</c:v>
                </c:pt>
                <c:pt idx="154">
                  <c:v>46267</c:v>
                </c:pt>
                <c:pt idx="155">
                  <c:v>46268</c:v>
                </c:pt>
                <c:pt idx="156">
                  <c:v>46269</c:v>
                </c:pt>
                <c:pt idx="157">
                  <c:v>46270</c:v>
                </c:pt>
                <c:pt idx="158">
                  <c:v>46271</c:v>
                </c:pt>
                <c:pt idx="159">
                  <c:v>46272</c:v>
                </c:pt>
                <c:pt idx="160">
                  <c:v>46273</c:v>
                </c:pt>
                <c:pt idx="161">
                  <c:v>46274</c:v>
                </c:pt>
                <c:pt idx="162">
                  <c:v>46275</c:v>
                </c:pt>
                <c:pt idx="163">
                  <c:v>46276</c:v>
                </c:pt>
                <c:pt idx="164">
                  <c:v>46277</c:v>
                </c:pt>
                <c:pt idx="165">
                  <c:v>46278</c:v>
                </c:pt>
                <c:pt idx="166">
                  <c:v>46279</c:v>
                </c:pt>
                <c:pt idx="167">
                  <c:v>46280</c:v>
                </c:pt>
                <c:pt idx="168">
                  <c:v>46281</c:v>
                </c:pt>
                <c:pt idx="169">
                  <c:v>46282</c:v>
                </c:pt>
                <c:pt idx="170">
                  <c:v>46283</c:v>
                </c:pt>
                <c:pt idx="171">
                  <c:v>46284</c:v>
                </c:pt>
                <c:pt idx="172">
                  <c:v>46285</c:v>
                </c:pt>
                <c:pt idx="173">
                  <c:v>46286</c:v>
                </c:pt>
                <c:pt idx="174">
                  <c:v>46287</c:v>
                </c:pt>
                <c:pt idx="175">
                  <c:v>46288</c:v>
                </c:pt>
                <c:pt idx="176">
                  <c:v>46289</c:v>
                </c:pt>
                <c:pt idx="177">
                  <c:v>46290</c:v>
                </c:pt>
                <c:pt idx="178">
                  <c:v>46291</c:v>
                </c:pt>
                <c:pt idx="179">
                  <c:v>46292</c:v>
                </c:pt>
                <c:pt idx="180">
                  <c:v>46293</c:v>
                </c:pt>
                <c:pt idx="181">
                  <c:v>46294</c:v>
                </c:pt>
                <c:pt idx="182">
                  <c:v>46295</c:v>
                </c:pt>
                <c:pt idx="183">
                  <c:v>46296</c:v>
                </c:pt>
                <c:pt idx="184">
                  <c:v>46297</c:v>
                </c:pt>
                <c:pt idx="185">
                  <c:v>46298</c:v>
                </c:pt>
                <c:pt idx="186">
                  <c:v>46299</c:v>
                </c:pt>
                <c:pt idx="187">
                  <c:v>46300</c:v>
                </c:pt>
                <c:pt idx="188">
                  <c:v>46301</c:v>
                </c:pt>
                <c:pt idx="189">
                  <c:v>46302</c:v>
                </c:pt>
                <c:pt idx="190">
                  <c:v>46303</c:v>
                </c:pt>
                <c:pt idx="191">
                  <c:v>46304</c:v>
                </c:pt>
                <c:pt idx="192">
                  <c:v>46305</c:v>
                </c:pt>
                <c:pt idx="193">
                  <c:v>46306</c:v>
                </c:pt>
                <c:pt idx="194">
                  <c:v>46307</c:v>
                </c:pt>
                <c:pt idx="195">
                  <c:v>46308</c:v>
                </c:pt>
                <c:pt idx="196">
                  <c:v>46309</c:v>
                </c:pt>
                <c:pt idx="197">
                  <c:v>46310</c:v>
                </c:pt>
                <c:pt idx="198">
                  <c:v>46311</c:v>
                </c:pt>
                <c:pt idx="199">
                  <c:v>46312</c:v>
                </c:pt>
                <c:pt idx="200">
                  <c:v>46313</c:v>
                </c:pt>
                <c:pt idx="201">
                  <c:v>46314</c:v>
                </c:pt>
                <c:pt idx="202">
                  <c:v>46315</c:v>
                </c:pt>
                <c:pt idx="203">
                  <c:v>46316</c:v>
                </c:pt>
                <c:pt idx="204">
                  <c:v>46317</c:v>
                </c:pt>
                <c:pt idx="205">
                  <c:v>46318</c:v>
                </c:pt>
                <c:pt idx="206">
                  <c:v>46319</c:v>
                </c:pt>
                <c:pt idx="207">
                  <c:v>46320</c:v>
                </c:pt>
                <c:pt idx="208">
                  <c:v>46321</c:v>
                </c:pt>
                <c:pt idx="209">
                  <c:v>46322</c:v>
                </c:pt>
                <c:pt idx="210">
                  <c:v>46323</c:v>
                </c:pt>
                <c:pt idx="211">
                  <c:v>46324</c:v>
                </c:pt>
                <c:pt idx="212">
                  <c:v>46325</c:v>
                </c:pt>
                <c:pt idx="213">
                  <c:v>46326</c:v>
                </c:pt>
                <c:pt idx="214">
                  <c:v>46327</c:v>
                </c:pt>
                <c:pt idx="215">
                  <c:v>46328</c:v>
                </c:pt>
                <c:pt idx="216">
                  <c:v>46329</c:v>
                </c:pt>
                <c:pt idx="217">
                  <c:v>46330</c:v>
                </c:pt>
                <c:pt idx="218">
                  <c:v>46331</c:v>
                </c:pt>
                <c:pt idx="219">
                  <c:v>46332</c:v>
                </c:pt>
                <c:pt idx="220">
                  <c:v>46333</c:v>
                </c:pt>
                <c:pt idx="221">
                  <c:v>46334</c:v>
                </c:pt>
                <c:pt idx="222">
                  <c:v>46335</c:v>
                </c:pt>
                <c:pt idx="223">
                  <c:v>46336</c:v>
                </c:pt>
                <c:pt idx="224">
                  <c:v>46337</c:v>
                </c:pt>
                <c:pt idx="225">
                  <c:v>46338</c:v>
                </c:pt>
                <c:pt idx="226">
                  <c:v>46339</c:v>
                </c:pt>
                <c:pt idx="227">
                  <c:v>46340</c:v>
                </c:pt>
                <c:pt idx="228">
                  <c:v>46341</c:v>
                </c:pt>
                <c:pt idx="229">
                  <c:v>46342</c:v>
                </c:pt>
                <c:pt idx="230">
                  <c:v>46343</c:v>
                </c:pt>
                <c:pt idx="231">
                  <c:v>46344</c:v>
                </c:pt>
                <c:pt idx="232">
                  <c:v>46345</c:v>
                </c:pt>
                <c:pt idx="233">
                  <c:v>46346</c:v>
                </c:pt>
                <c:pt idx="234">
                  <c:v>46347</c:v>
                </c:pt>
                <c:pt idx="235">
                  <c:v>46348</c:v>
                </c:pt>
                <c:pt idx="236">
                  <c:v>46349</c:v>
                </c:pt>
                <c:pt idx="237">
                  <c:v>46350</c:v>
                </c:pt>
                <c:pt idx="238">
                  <c:v>46351</c:v>
                </c:pt>
                <c:pt idx="239">
                  <c:v>46352</c:v>
                </c:pt>
                <c:pt idx="240">
                  <c:v>46353</c:v>
                </c:pt>
                <c:pt idx="241">
                  <c:v>46354</c:v>
                </c:pt>
                <c:pt idx="242">
                  <c:v>46355</c:v>
                </c:pt>
                <c:pt idx="243">
                  <c:v>46356</c:v>
                </c:pt>
                <c:pt idx="244">
                  <c:v>46357</c:v>
                </c:pt>
                <c:pt idx="245">
                  <c:v>46358</c:v>
                </c:pt>
                <c:pt idx="246">
                  <c:v>46359</c:v>
                </c:pt>
                <c:pt idx="247">
                  <c:v>46360</c:v>
                </c:pt>
                <c:pt idx="248">
                  <c:v>46361</c:v>
                </c:pt>
                <c:pt idx="249">
                  <c:v>46362</c:v>
                </c:pt>
                <c:pt idx="250">
                  <c:v>46363</c:v>
                </c:pt>
                <c:pt idx="251">
                  <c:v>46364</c:v>
                </c:pt>
                <c:pt idx="252">
                  <c:v>46365</c:v>
                </c:pt>
                <c:pt idx="253">
                  <c:v>46366</c:v>
                </c:pt>
                <c:pt idx="254">
                  <c:v>46367</c:v>
                </c:pt>
                <c:pt idx="255">
                  <c:v>46368</c:v>
                </c:pt>
                <c:pt idx="256">
                  <c:v>46369</c:v>
                </c:pt>
                <c:pt idx="257">
                  <c:v>46370</c:v>
                </c:pt>
                <c:pt idx="258">
                  <c:v>46371</c:v>
                </c:pt>
                <c:pt idx="259">
                  <c:v>46372</c:v>
                </c:pt>
                <c:pt idx="260">
                  <c:v>46373</c:v>
                </c:pt>
                <c:pt idx="261">
                  <c:v>46374</c:v>
                </c:pt>
                <c:pt idx="262">
                  <c:v>46375</c:v>
                </c:pt>
                <c:pt idx="263">
                  <c:v>46376</c:v>
                </c:pt>
                <c:pt idx="264">
                  <c:v>46377</c:v>
                </c:pt>
                <c:pt idx="265">
                  <c:v>46378</c:v>
                </c:pt>
                <c:pt idx="266">
                  <c:v>46379</c:v>
                </c:pt>
                <c:pt idx="267">
                  <c:v>46380</c:v>
                </c:pt>
                <c:pt idx="268">
                  <c:v>46381</c:v>
                </c:pt>
                <c:pt idx="269">
                  <c:v>46382</c:v>
                </c:pt>
                <c:pt idx="270">
                  <c:v>46383</c:v>
                </c:pt>
                <c:pt idx="271">
                  <c:v>46384</c:v>
                </c:pt>
                <c:pt idx="272">
                  <c:v>46385</c:v>
                </c:pt>
                <c:pt idx="273">
                  <c:v>46386</c:v>
                </c:pt>
                <c:pt idx="274">
                  <c:v>46387</c:v>
                </c:pt>
                <c:pt idx="275">
                  <c:v>46388</c:v>
                </c:pt>
                <c:pt idx="276">
                  <c:v>46389</c:v>
                </c:pt>
                <c:pt idx="277">
                  <c:v>46390</c:v>
                </c:pt>
                <c:pt idx="278">
                  <c:v>46391</c:v>
                </c:pt>
                <c:pt idx="279">
                  <c:v>46392</c:v>
                </c:pt>
                <c:pt idx="280">
                  <c:v>46393</c:v>
                </c:pt>
                <c:pt idx="281">
                  <c:v>46394</c:v>
                </c:pt>
                <c:pt idx="282">
                  <c:v>46395</c:v>
                </c:pt>
                <c:pt idx="283">
                  <c:v>46396</c:v>
                </c:pt>
                <c:pt idx="284">
                  <c:v>46397</c:v>
                </c:pt>
                <c:pt idx="285">
                  <c:v>46398</c:v>
                </c:pt>
                <c:pt idx="286">
                  <c:v>46399</c:v>
                </c:pt>
                <c:pt idx="287">
                  <c:v>46400</c:v>
                </c:pt>
                <c:pt idx="288">
                  <c:v>46401</c:v>
                </c:pt>
                <c:pt idx="289">
                  <c:v>46402</c:v>
                </c:pt>
                <c:pt idx="290">
                  <c:v>46403</c:v>
                </c:pt>
                <c:pt idx="291">
                  <c:v>46404</c:v>
                </c:pt>
                <c:pt idx="292">
                  <c:v>46405</c:v>
                </c:pt>
                <c:pt idx="293">
                  <c:v>46406</c:v>
                </c:pt>
                <c:pt idx="294">
                  <c:v>46407</c:v>
                </c:pt>
                <c:pt idx="295">
                  <c:v>46408</c:v>
                </c:pt>
                <c:pt idx="296">
                  <c:v>46409</c:v>
                </c:pt>
                <c:pt idx="297">
                  <c:v>46410</c:v>
                </c:pt>
                <c:pt idx="298">
                  <c:v>46411</c:v>
                </c:pt>
                <c:pt idx="299">
                  <c:v>46412</c:v>
                </c:pt>
                <c:pt idx="300">
                  <c:v>46413</c:v>
                </c:pt>
                <c:pt idx="301">
                  <c:v>46414</c:v>
                </c:pt>
                <c:pt idx="302">
                  <c:v>46415</c:v>
                </c:pt>
                <c:pt idx="303">
                  <c:v>46416</c:v>
                </c:pt>
                <c:pt idx="304">
                  <c:v>46417</c:v>
                </c:pt>
                <c:pt idx="305">
                  <c:v>46418</c:v>
                </c:pt>
                <c:pt idx="306">
                  <c:v>46419</c:v>
                </c:pt>
                <c:pt idx="307">
                  <c:v>46420</c:v>
                </c:pt>
                <c:pt idx="308">
                  <c:v>46421</c:v>
                </c:pt>
                <c:pt idx="309">
                  <c:v>46422</c:v>
                </c:pt>
                <c:pt idx="310">
                  <c:v>46423</c:v>
                </c:pt>
                <c:pt idx="311">
                  <c:v>46424</c:v>
                </c:pt>
                <c:pt idx="312">
                  <c:v>46425</c:v>
                </c:pt>
                <c:pt idx="313">
                  <c:v>46426</c:v>
                </c:pt>
                <c:pt idx="314">
                  <c:v>46427</c:v>
                </c:pt>
                <c:pt idx="315">
                  <c:v>46428</c:v>
                </c:pt>
                <c:pt idx="316">
                  <c:v>46429</c:v>
                </c:pt>
                <c:pt idx="317">
                  <c:v>46430</c:v>
                </c:pt>
                <c:pt idx="318">
                  <c:v>46431</c:v>
                </c:pt>
                <c:pt idx="319">
                  <c:v>46432</c:v>
                </c:pt>
                <c:pt idx="320">
                  <c:v>46433</c:v>
                </c:pt>
                <c:pt idx="321">
                  <c:v>46434</c:v>
                </c:pt>
                <c:pt idx="322">
                  <c:v>46435</c:v>
                </c:pt>
                <c:pt idx="323">
                  <c:v>46436</c:v>
                </c:pt>
                <c:pt idx="324">
                  <c:v>46437</c:v>
                </c:pt>
                <c:pt idx="325">
                  <c:v>46438</c:v>
                </c:pt>
                <c:pt idx="326">
                  <c:v>46439</c:v>
                </c:pt>
                <c:pt idx="327">
                  <c:v>46440</c:v>
                </c:pt>
                <c:pt idx="328">
                  <c:v>46441</c:v>
                </c:pt>
                <c:pt idx="329">
                  <c:v>46442</c:v>
                </c:pt>
                <c:pt idx="330">
                  <c:v>46443</c:v>
                </c:pt>
                <c:pt idx="331">
                  <c:v>46444</c:v>
                </c:pt>
                <c:pt idx="332">
                  <c:v>46445</c:v>
                </c:pt>
                <c:pt idx="333">
                  <c:v>46446</c:v>
                </c:pt>
                <c:pt idx="334">
                  <c:v>46447</c:v>
                </c:pt>
                <c:pt idx="335">
                  <c:v>46448</c:v>
                </c:pt>
                <c:pt idx="336">
                  <c:v>46449</c:v>
                </c:pt>
                <c:pt idx="337">
                  <c:v>46450</c:v>
                </c:pt>
                <c:pt idx="338">
                  <c:v>46451</c:v>
                </c:pt>
                <c:pt idx="339">
                  <c:v>46452</c:v>
                </c:pt>
                <c:pt idx="340">
                  <c:v>46453</c:v>
                </c:pt>
                <c:pt idx="341">
                  <c:v>46454</c:v>
                </c:pt>
                <c:pt idx="342">
                  <c:v>46455</c:v>
                </c:pt>
                <c:pt idx="343">
                  <c:v>46456</c:v>
                </c:pt>
                <c:pt idx="344">
                  <c:v>46457</c:v>
                </c:pt>
                <c:pt idx="345">
                  <c:v>46458</c:v>
                </c:pt>
                <c:pt idx="346">
                  <c:v>46459</c:v>
                </c:pt>
                <c:pt idx="347">
                  <c:v>46460</c:v>
                </c:pt>
                <c:pt idx="348">
                  <c:v>46461</c:v>
                </c:pt>
                <c:pt idx="349">
                  <c:v>46462</c:v>
                </c:pt>
                <c:pt idx="350">
                  <c:v>46463</c:v>
                </c:pt>
                <c:pt idx="351">
                  <c:v>46464</c:v>
                </c:pt>
                <c:pt idx="352">
                  <c:v>46465</c:v>
                </c:pt>
                <c:pt idx="353">
                  <c:v>46466</c:v>
                </c:pt>
                <c:pt idx="354">
                  <c:v>46467</c:v>
                </c:pt>
                <c:pt idx="355">
                  <c:v>46468</c:v>
                </c:pt>
                <c:pt idx="356">
                  <c:v>46469</c:v>
                </c:pt>
                <c:pt idx="357">
                  <c:v>46470</c:v>
                </c:pt>
                <c:pt idx="358">
                  <c:v>46471</c:v>
                </c:pt>
                <c:pt idx="359">
                  <c:v>46472</c:v>
                </c:pt>
                <c:pt idx="360">
                  <c:v>46473</c:v>
                </c:pt>
                <c:pt idx="361">
                  <c:v>46474</c:v>
                </c:pt>
                <c:pt idx="362">
                  <c:v>46475</c:v>
                </c:pt>
                <c:pt idx="363">
                  <c:v>46476</c:v>
                </c:pt>
              </c:numCache>
            </c:numRef>
          </c:cat>
          <c:val>
            <c:numRef>
              <c:f>Profils!$D$2:$D$365</c:f>
              <c:numCache>
                <c:formatCode>General</c:formatCode>
                <c:ptCount val="364"/>
                <c:pt idx="0">
                  <c:v>1.16455262</c:v>
                </c:pt>
                <c:pt idx="1">
                  <c:v>1.15492021</c:v>
                </c:pt>
                <c:pt idx="2">
                  <c:v>1.1446883299999999</c:v>
                </c:pt>
                <c:pt idx="3">
                  <c:v>1.18799561</c:v>
                </c:pt>
                <c:pt idx="4">
                  <c:v>1.1772498300000001</c:v>
                </c:pt>
                <c:pt idx="5">
                  <c:v>1.16646798</c:v>
                </c:pt>
                <c:pt idx="6">
                  <c:v>1.10558757</c:v>
                </c:pt>
                <c:pt idx="7">
                  <c:v>1.09516138</c:v>
                </c:pt>
                <c:pt idx="8">
                  <c:v>1.0858139600000001</c:v>
                </c:pt>
                <c:pt idx="9">
                  <c:v>1.0758757699999999</c:v>
                </c:pt>
                <c:pt idx="10">
                  <c:v>1.1120584499999999</c:v>
                </c:pt>
                <c:pt idx="11">
                  <c:v>1.1017426100000001</c:v>
                </c:pt>
                <c:pt idx="12">
                  <c:v>1.0469849</c:v>
                </c:pt>
                <c:pt idx="13">
                  <c:v>1.0363672799999999</c:v>
                </c:pt>
                <c:pt idx="14">
                  <c:v>1.0268361500000001</c:v>
                </c:pt>
                <c:pt idx="15">
                  <c:v>1.01727893</c:v>
                </c:pt>
                <c:pt idx="16">
                  <c:v>1.00825385</c:v>
                </c:pt>
                <c:pt idx="17">
                  <c:v>1.0379897600000001</c:v>
                </c:pt>
                <c:pt idx="18">
                  <c:v>1.0275044200000001</c:v>
                </c:pt>
                <c:pt idx="19">
                  <c:v>0.97881492999999997</c:v>
                </c:pt>
                <c:pt idx="20">
                  <c:v>0.96914659000000003</c:v>
                </c:pt>
                <c:pt idx="21">
                  <c:v>0.96001681000000005</c:v>
                </c:pt>
                <c:pt idx="22">
                  <c:v>0.95031297000000003</c:v>
                </c:pt>
                <c:pt idx="23">
                  <c:v>0.94059327000000004</c:v>
                </c:pt>
                <c:pt idx="24">
                  <c:v>0.96488368000000002</c:v>
                </c:pt>
                <c:pt idx="25">
                  <c:v>0.95494491999999997</c:v>
                </c:pt>
                <c:pt idx="26">
                  <c:v>0.91190837999999996</c:v>
                </c:pt>
                <c:pt idx="27">
                  <c:v>0.90269454000000005</c:v>
                </c:pt>
                <c:pt idx="28">
                  <c:v>0.89347096999999998</c:v>
                </c:pt>
                <c:pt idx="29">
                  <c:v>0.88368190999999996</c:v>
                </c:pt>
                <c:pt idx="30">
                  <c:v>0.90378862000000004</c:v>
                </c:pt>
                <c:pt idx="31">
                  <c:v>0.89314097999999997</c:v>
                </c:pt>
                <c:pt idx="32">
                  <c:v>0.88248863</c:v>
                </c:pt>
                <c:pt idx="33">
                  <c:v>0.84557720000000003</c:v>
                </c:pt>
                <c:pt idx="34">
                  <c:v>0.83576262000000001</c:v>
                </c:pt>
                <c:pt idx="35">
                  <c:v>0.82650323000000003</c:v>
                </c:pt>
                <c:pt idx="36">
                  <c:v>0.81724313999999998</c:v>
                </c:pt>
                <c:pt idx="37">
                  <c:v>0.83116559999999995</c:v>
                </c:pt>
                <c:pt idx="38">
                  <c:v>0.82116414000000004</c:v>
                </c:pt>
                <c:pt idx="39">
                  <c:v>0.81050703999999996</c:v>
                </c:pt>
                <c:pt idx="40">
                  <c:v>0.79035741000000004</c:v>
                </c:pt>
                <c:pt idx="41">
                  <c:v>0.78667867999999996</c:v>
                </c:pt>
                <c:pt idx="42">
                  <c:v>0.78300530999999995</c:v>
                </c:pt>
                <c:pt idx="43">
                  <c:v>0.79076422000000002</c:v>
                </c:pt>
                <c:pt idx="44">
                  <c:v>0.77567834000000002</c:v>
                </c:pt>
                <c:pt idx="45">
                  <c:v>0.78398000000000001</c:v>
                </c:pt>
                <c:pt idx="46">
                  <c:v>0.78059999999999996</c:v>
                </c:pt>
                <c:pt idx="47">
                  <c:v>0.76475088000000002</c:v>
                </c:pt>
                <c:pt idx="48">
                  <c:v>0.76112868</c:v>
                </c:pt>
                <c:pt idx="49">
                  <c:v>0.75751800999999996</c:v>
                </c:pt>
                <c:pt idx="50">
                  <c:v>0.75391969000000003</c:v>
                </c:pt>
                <c:pt idx="51">
                  <c:v>0.75033450999999995</c:v>
                </c:pt>
                <c:pt idx="52">
                  <c:v>0.76053904999999999</c:v>
                </c:pt>
                <c:pt idx="53">
                  <c:v>0.75723901999999998</c:v>
                </c:pt>
                <c:pt idx="54">
                  <c:v>0.75395330000000005</c:v>
                </c:pt>
                <c:pt idx="55">
                  <c:v>0.73614049999999998</c:v>
                </c:pt>
                <c:pt idx="56">
                  <c:v>0.73263237000000003</c:v>
                </c:pt>
                <c:pt idx="57">
                  <c:v>0.72914179999999995</c:v>
                </c:pt>
                <c:pt idx="58">
                  <c:v>0.72566947999999998</c:v>
                </c:pt>
                <c:pt idx="59">
                  <c:v>0.73776260000000005</c:v>
                </c:pt>
                <c:pt idx="60">
                  <c:v>0.73457649999999997</c:v>
                </c:pt>
                <c:pt idx="61">
                  <c:v>0.71536875</c:v>
                </c:pt>
                <c:pt idx="62">
                  <c:v>0.71197608000000001</c:v>
                </c:pt>
                <c:pt idx="63">
                  <c:v>0.70860491999999997</c:v>
                </c:pt>
                <c:pt idx="64">
                  <c:v>0.70525589</c:v>
                </c:pt>
                <c:pt idx="65">
                  <c:v>0.70192960999999998</c:v>
                </c:pt>
                <c:pt idx="66">
                  <c:v>0.71587480000000003</c:v>
                </c:pt>
                <c:pt idx="67">
                  <c:v>0.71283235</c:v>
                </c:pt>
                <c:pt idx="68">
                  <c:v>0.69209326999999998</c:v>
                </c:pt>
                <c:pt idx="69">
                  <c:v>0.68886396000000005</c:v>
                </c:pt>
                <c:pt idx="70">
                  <c:v>0.68566037000000002</c:v>
                </c:pt>
                <c:pt idx="71">
                  <c:v>0.68248306999999997</c:v>
                </c:pt>
                <c:pt idx="72">
                  <c:v>0.67933264999999998</c:v>
                </c:pt>
                <c:pt idx="73">
                  <c:v>0.69507483999999997</c:v>
                </c:pt>
                <c:pt idx="74">
                  <c:v>0.69220313</c:v>
                </c:pt>
                <c:pt idx="75">
                  <c:v>0.67004836000000001</c:v>
                </c:pt>
                <c:pt idx="76">
                  <c:v>0.66701116999999999</c:v>
                </c:pt>
                <c:pt idx="77">
                  <c:v>0.66400373000000001</c:v>
                </c:pt>
                <c:pt idx="78">
                  <c:v>0.66102662000000001</c:v>
                </c:pt>
                <c:pt idx="79">
                  <c:v>0.65808042</c:v>
                </c:pt>
                <c:pt idx="80">
                  <c:v>0.67554888000000002</c:v>
                </c:pt>
                <c:pt idx="81">
                  <c:v>0.67287419000000004</c:v>
                </c:pt>
                <c:pt idx="82">
                  <c:v>0.64943311999999997</c:v>
                </c:pt>
                <c:pt idx="83">
                  <c:v>0.64661643999999996</c:v>
                </c:pt>
                <c:pt idx="84">
                  <c:v>0.64383362</c:v>
                </c:pt>
                <c:pt idx="85">
                  <c:v>0.64108529000000003</c:v>
                </c:pt>
                <c:pt idx="86">
                  <c:v>0.63837206000000002</c:v>
                </c:pt>
                <c:pt idx="87">
                  <c:v>0.65748225999999999</c:v>
                </c:pt>
                <c:pt idx="88">
                  <c:v>0.65503162000000004</c:v>
                </c:pt>
                <c:pt idx="89">
                  <c:v>0.63044920000000004</c:v>
                </c:pt>
                <c:pt idx="90">
                  <c:v>0.62788266000000004</c:v>
                </c:pt>
                <c:pt idx="91">
                  <c:v>0.62535439999999998</c:v>
                </c:pt>
                <c:pt idx="92">
                  <c:v>0.62286507999999996</c:v>
                </c:pt>
                <c:pt idx="93">
                  <c:v>0.62041537999999996</c:v>
                </c:pt>
                <c:pt idx="94">
                  <c:v>0.64106965000000005</c:v>
                </c:pt>
                <c:pt idx="95">
                  <c:v>0.63887205999999996</c:v>
                </c:pt>
                <c:pt idx="96">
                  <c:v>0.61331075999999995</c:v>
                </c:pt>
                <c:pt idx="97">
                  <c:v>0.61102637000000004</c:v>
                </c:pt>
                <c:pt idx="98">
                  <c:v>0.60878505000000005</c:v>
                </c:pt>
                <c:pt idx="99">
                  <c:v>0.60658752000000005</c:v>
                </c:pt>
                <c:pt idx="100">
                  <c:v>0.60443451999999998</c:v>
                </c:pt>
                <c:pt idx="101">
                  <c:v>0.62652147000000002</c:v>
                </c:pt>
                <c:pt idx="102">
                  <c:v>0.62460842999999999</c:v>
                </c:pt>
                <c:pt idx="103">
                  <c:v>0.59824997000000002</c:v>
                </c:pt>
                <c:pt idx="104">
                  <c:v>0.62091311999999999</c:v>
                </c:pt>
                <c:pt idx="105">
                  <c:v>0.59436310000000003</c:v>
                </c:pt>
                <c:pt idx="106">
                  <c:v>0.59249278000000005</c:v>
                </c:pt>
                <c:pt idx="107">
                  <c:v>0.59067221000000003</c:v>
                </c:pt>
                <c:pt idx="108">
                  <c:v>0.61406525000000001</c:v>
                </c:pt>
                <c:pt idx="109">
                  <c:v>0.61247048000000004</c:v>
                </c:pt>
                <c:pt idx="110">
                  <c:v>0.58551671999999999</c:v>
                </c:pt>
                <c:pt idx="111">
                  <c:v>0.58390286000000002</c:v>
                </c:pt>
                <c:pt idx="112">
                  <c:v>0.58234260000000004</c:v>
                </c:pt>
                <c:pt idx="113">
                  <c:v>0.58083669999999998</c:v>
                </c:pt>
                <c:pt idx="114">
                  <c:v>0.57938595000000004</c:v>
                </c:pt>
                <c:pt idx="115">
                  <c:v>0.60394124000000005</c:v>
                </c:pt>
                <c:pt idx="116">
                  <c:v>0.60269958000000001</c:v>
                </c:pt>
                <c:pt idx="117">
                  <c:v>0.57537212999999998</c:v>
                </c:pt>
                <c:pt idx="118">
                  <c:v>0.57414953000000002</c:v>
                </c:pt>
                <c:pt idx="119">
                  <c:v>0.57298583000000003</c:v>
                </c:pt>
                <c:pt idx="120">
                  <c:v>0.57188176999999996</c:v>
                </c:pt>
                <c:pt idx="121">
                  <c:v>0.57083808000000003</c:v>
                </c:pt>
                <c:pt idx="122">
                  <c:v>0.59639246999999995</c:v>
                </c:pt>
                <c:pt idx="123">
                  <c:v>0.59553805999999998</c:v>
                </c:pt>
                <c:pt idx="124">
                  <c:v>0.56807624999999995</c:v>
                </c:pt>
                <c:pt idx="125">
                  <c:v>0.56728102000000002</c:v>
                </c:pt>
                <c:pt idx="126">
                  <c:v>0.56654959000000005</c:v>
                </c:pt>
                <c:pt idx="127">
                  <c:v>0.56588258999999996</c:v>
                </c:pt>
                <c:pt idx="128">
                  <c:v>0.56528065000000005</c:v>
                </c:pt>
                <c:pt idx="129">
                  <c:v>0.59165007999999997</c:v>
                </c:pt>
                <c:pt idx="130">
                  <c:v>0.59121394999999999</c:v>
                </c:pt>
                <c:pt idx="131">
                  <c:v>0.56387113</c:v>
                </c:pt>
                <c:pt idx="132">
                  <c:v>0.56353525000000004</c:v>
                </c:pt>
                <c:pt idx="133">
                  <c:v>0.56326723000000001</c:v>
                </c:pt>
                <c:pt idx="134">
                  <c:v>0.56306756000000002</c:v>
                </c:pt>
                <c:pt idx="135">
                  <c:v>0.56293669999999996</c:v>
                </c:pt>
                <c:pt idx="136">
                  <c:v>0.58991561000000003</c:v>
                </c:pt>
                <c:pt idx="137">
                  <c:v>0.58992306000000005</c:v>
                </c:pt>
                <c:pt idx="138">
                  <c:v>0.56296113999999997</c:v>
                </c:pt>
                <c:pt idx="139">
                  <c:v>0.56310956000000001</c:v>
                </c:pt>
                <c:pt idx="140">
                  <c:v>0.56332864999999999</c:v>
                </c:pt>
                <c:pt idx="141">
                  <c:v>0.56361870000000003</c:v>
                </c:pt>
                <c:pt idx="142">
                  <c:v>0.56397995000000001</c:v>
                </c:pt>
                <c:pt idx="143">
                  <c:v>0.59134224999999996</c:v>
                </c:pt>
                <c:pt idx="144">
                  <c:v>0.59181013000000005</c:v>
                </c:pt>
                <c:pt idx="145">
                  <c:v>0.56549287000000004</c:v>
                </c:pt>
                <c:pt idx="146">
                  <c:v>0.56614069</c:v>
                </c:pt>
                <c:pt idx="147">
                  <c:v>0.56686040999999998</c:v>
                </c:pt>
                <c:pt idx="148">
                  <c:v>0.56765204000000002</c:v>
                </c:pt>
                <c:pt idx="149">
                  <c:v>0.56851558999999996</c:v>
                </c:pt>
                <c:pt idx="150">
                  <c:v>0.59601716999999999</c:v>
                </c:pt>
                <c:pt idx="151">
                  <c:v>0.59695167999999998</c:v>
                </c:pt>
                <c:pt idx="152">
                  <c:v>0.57153693000000005</c:v>
                </c:pt>
                <c:pt idx="153">
                  <c:v>0.57268717000000002</c:v>
                </c:pt>
                <c:pt idx="154">
                  <c:v>0.57390863999999997</c:v>
                </c:pt>
                <c:pt idx="155">
                  <c:v>0.57520108999999997</c:v>
                </c:pt>
                <c:pt idx="156">
                  <c:v>0.57656421999999996</c:v>
                </c:pt>
                <c:pt idx="157">
                  <c:v>0.60394734999999999</c:v>
                </c:pt>
                <c:pt idx="158">
                  <c:v>0.60534233000000004</c:v>
                </c:pt>
                <c:pt idx="159">
                  <c:v>0.58107405999999995</c:v>
                </c:pt>
                <c:pt idx="160">
                  <c:v>0.58271607000000003</c:v>
                </c:pt>
                <c:pt idx="161">
                  <c:v>0.58442665000000005</c:v>
                </c:pt>
                <c:pt idx="162">
                  <c:v>0.58620523000000002</c:v>
                </c:pt>
                <c:pt idx="163">
                  <c:v>0.58805123000000004</c:v>
                </c:pt>
                <c:pt idx="164">
                  <c:v>0.61505049000000001</c:v>
                </c:pt>
                <c:pt idx="165">
                  <c:v>0.61688664999999998</c:v>
                </c:pt>
                <c:pt idx="166">
                  <c:v>0.59398722000000004</c:v>
                </c:pt>
                <c:pt idx="167">
                  <c:v>0.59609619000000003</c:v>
                </c:pt>
                <c:pt idx="168">
                  <c:v>0.59826902000000004</c:v>
                </c:pt>
                <c:pt idx="169">
                  <c:v>0.60050488999999996</c:v>
                </c:pt>
                <c:pt idx="170">
                  <c:v>0.60280292999999996</c:v>
                </c:pt>
                <c:pt idx="171">
                  <c:v>0.62915242000000005</c:v>
                </c:pt>
                <c:pt idx="172">
                  <c:v>0.63139754000000003</c:v>
                </c:pt>
                <c:pt idx="173">
                  <c:v>0.61006095000000005</c:v>
                </c:pt>
                <c:pt idx="174">
                  <c:v>0.61259834999999996</c:v>
                </c:pt>
                <c:pt idx="175">
                  <c:v>0.61519307000000001</c:v>
                </c:pt>
                <c:pt idx="176">
                  <c:v>0.61784404999999998</c:v>
                </c:pt>
                <c:pt idx="177">
                  <c:v>0.62055017999999995</c:v>
                </c:pt>
                <c:pt idx="178">
                  <c:v>0.64599139999999999</c:v>
                </c:pt>
                <c:pt idx="179">
                  <c:v>0.64860150999999999</c:v>
                </c:pt>
                <c:pt idx="180">
                  <c:v>0.62898809</c:v>
                </c:pt>
                <c:pt idx="181">
                  <c:v>0.63190327999999996</c:v>
                </c:pt>
                <c:pt idx="182">
                  <c:v>0.63486770000000003</c:v>
                </c:pt>
                <c:pt idx="183">
                  <c:v>0.63788009999999995</c:v>
                </c:pt>
                <c:pt idx="184">
                  <c:v>0.64093920000000004</c:v>
                </c:pt>
                <c:pt idx="185">
                  <c:v>0.66522914</c:v>
                </c:pt>
                <c:pt idx="186">
                  <c:v>0.66815057</c:v>
                </c:pt>
                <c:pt idx="187">
                  <c:v>0.65038351999999999</c:v>
                </c:pt>
                <c:pt idx="188">
                  <c:v>0.65361617999999999</c:v>
                </c:pt>
                <c:pt idx="189">
                  <c:v>0.65732994</c:v>
                </c:pt>
                <c:pt idx="190">
                  <c:v>0.66843839000000005</c:v>
                </c:pt>
                <c:pt idx="191">
                  <c:v>0.68014098999999995</c:v>
                </c:pt>
                <c:pt idx="192">
                  <c:v>0.72809299000000005</c:v>
                </c:pt>
                <c:pt idx="193">
                  <c:v>0.74113304999999996</c:v>
                </c:pt>
                <c:pt idx="194">
                  <c:v>0.71434412999999997</c:v>
                </c:pt>
                <c:pt idx="195">
                  <c:v>0.72562450999999994</c:v>
                </c:pt>
                <c:pt idx="196">
                  <c:v>0.73804888000000002</c:v>
                </c:pt>
                <c:pt idx="197">
                  <c:v>0.74994497999999998</c:v>
                </c:pt>
                <c:pt idx="198">
                  <c:v>0.76131135999999999</c:v>
                </c:pt>
                <c:pt idx="199">
                  <c:v>0.81931136999999998</c:v>
                </c:pt>
                <c:pt idx="200">
                  <c:v>0.83253758</c:v>
                </c:pt>
                <c:pt idx="201">
                  <c:v>0.79778716000000005</c:v>
                </c:pt>
                <c:pt idx="202">
                  <c:v>0.80980494999999997</c:v>
                </c:pt>
                <c:pt idx="203">
                  <c:v>0.82239971000000001</c:v>
                </c:pt>
                <c:pt idx="204">
                  <c:v>0.83389919999999995</c:v>
                </c:pt>
                <c:pt idx="205">
                  <c:v>0.84652974000000003</c:v>
                </c:pt>
                <c:pt idx="206">
                  <c:v>0.91295236999999996</c:v>
                </c:pt>
                <c:pt idx="207">
                  <c:v>0.92629949</c:v>
                </c:pt>
                <c:pt idx="208">
                  <c:v>0.88339654999999995</c:v>
                </c:pt>
                <c:pt idx="209">
                  <c:v>0.89608182000000003</c:v>
                </c:pt>
                <c:pt idx="210">
                  <c:v>0.90822038999999999</c:v>
                </c:pt>
                <c:pt idx="211">
                  <c:v>0.92092479000000005</c:v>
                </c:pt>
                <c:pt idx="212">
                  <c:v>0.93307978000000003</c:v>
                </c:pt>
                <c:pt idx="213">
                  <c:v>1.0085644</c:v>
                </c:pt>
                <c:pt idx="214">
                  <c:v>1.0219693999999999</c:v>
                </c:pt>
                <c:pt idx="215">
                  <c:v>0.96957687999999997</c:v>
                </c:pt>
                <c:pt idx="216">
                  <c:v>0.98230592999999999</c:v>
                </c:pt>
                <c:pt idx="217">
                  <c:v>0.99392219000000004</c:v>
                </c:pt>
                <c:pt idx="218">
                  <c:v>1.0066522</c:v>
                </c:pt>
                <c:pt idx="219">
                  <c:v>1.0182669799999999</c:v>
                </c:pt>
                <c:pt idx="220">
                  <c:v>1.10242934</c:v>
                </c:pt>
                <c:pt idx="221">
                  <c:v>1.11517585</c:v>
                </c:pt>
                <c:pt idx="222">
                  <c:v>1.0542052500000001</c:v>
                </c:pt>
                <c:pt idx="223">
                  <c:v>1.0658028900000001</c:v>
                </c:pt>
                <c:pt idx="224">
                  <c:v>1.1540419399999999</c:v>
                </c:pt>
                <c:pt idx="225">
                  <c:v>1.08841879</c:v>
                </c:pt>
                <c:pt idx="226">
                  <c:v>1.1005487700000001</c:v>
                </c:pt>
                <c:pt idx="227">
                  <c:v>1.1921817800000001</c:v>
                </c:pt>
                <c:pt idx="228">
                  <c:v>1.20355956</c:v>
                </c:pt>
                <c:pt idx="229">
                  <c:v>1.13408807</c:v>
                </c:pt>
                <c:pt idx="230">
                  <c:v>1.1444999199999999</c:v>
                </c:pt>
                <c:pt idx="231">
                  <c:v>1.15545443</c:v>
                </c:pt>
                <c:pt idx="232">
                  <c:v>1.16639373</c:v>
                </c:pt>
                <c:pt idx="233">
                  <c:v>1.17675996</c:v>
                </c:pt>
                <c:pt idx="234">
                  <c:v>1.27418615</c:v>
                </c:pt>
                <c:pt idx="235">
                  <c:v>1.2854654000000001</c:v>
                </c:pt>
                <c:pt idx="236">
                  <c:v>1.2071961200000001</c:v>
                </c:pt>
                <c:pt idx="237">
                  <c:v>1.2169321799999999</c:v>
                </c:pt>
                <c:pt idx="238">
                  <c:v>1.22664784</c:v>
                </c:pt>
                <c:pt idx="239">
                  <c:v>1.23578538</c:v>
                </c:pt>
                <c:pt idx="240">
                  <c:v>1.2454579100000001</c:v>
                </c:pt>
                <c:pt idx="241">
                  <c:v>1.3481441999999999</c:v>
                </c:pt>
                <c:pt idx="242">
                  <c:v>1.3573125100000001</c:v>
                </c:pt>
                <c:pt idx="243">
                  <c:v>1.27266542</c:v>
                </c:pt>
                <c:pt idx="244">
                  <c:v>1.28168576</c:v>
                </c:pt>
                <c:pt idx="245">
                  <c:v>1.2901235900000001</c:v>
                </c:pt>
                <c:pt idx="246">
                  <c:v>1.2985351700000001</c:v>
                </c:pt>
                <c:pt idx="247">
                  <c:v>1.3063628899999999</c:v>
                </c:pt>
                <c:pt idx="248">
                  <c:v>1.4118287700000001</c:v>
                </c:pt>
                <c:pt idx="249">
                  <c:v>1.4208267400000001</c:v>
                </c:pt>
                <c:pt idx="250">
                  <c:v>1.33023504</c:v>
                </c:pt>
                <c:pt idx="251">
                  <c:v>1.33739177</c:v>
                </c:pt>
                <c:pt idx="252">
                  <c:v>1.34451846</c:v>
                </c:pt>
                <c:pt idx="253">
                  <c:v>1.35161449</c:v>
                </c:pt>
                <c:pt idx="254">
                  <c:v>1.3586792999999999</c:v>
                </c:pt>
                <c:pt idx="255">
                  <c:v>1.4669966400000001</c:v>
                </c:pt>
                <c:pt idx="256">
                  <c:v>1.4738220799999999</c:v>
                </c:pt>
                <c:pt idx="257">
                  <c:v>1.37856668</c:v>
                </c:pt>
                <c:pt idx="258">
                  <c:v>1.38494388</c:v>
                </c:pt>
                <c:pt idx="259">
                  <c:v>1.39128702</c:v>
                </c:pt>
                <c:pt idx="260">
                  <c:v>1.3970385999999999</c:v>
                </c:pt>
                <c:pt idx="261">
                  <c:v>1.4027550099999999</c:v>
                </c:pt>
                <c:pt idx="262">
                  <c:v>1.51214103</c:v>
                </c:pt>
                <c:pt idx="263">
                  <c:v>1.5180838000000001</c:v>
                </c:pt>
                <c:pt idx="264">
                  <c:v>1.41968776</c:v>
                </c:pt>
                <c:pt idx="265">
                  <c:v>1.42525803</c:v>
                </c:pt>
                <c:pt idx="266">
                  <c:v>1.4302334800000001</c:v>
                </c:pt>
                <c:pt idx="267">
                  <c:v>1.43517048</c:v>
                </c:pt>
                <c:pt idx="268">
                  <c:v>1.54530167</c:v>
                </c:pt>
                <c:pt idx="269">
                  <c:v>1.55037409</c:v>
                </c:pt>
                <c:pt idx="270">
                  <c:v>1.5554093200000001</c:v>
                </c:pt>
                <c:pt idx="271">
                  <c:v>1.4539662600000001</c:v>
                </c:pt>
                <c:pt idx="272">
                  <c:v>1.4581459299999999</c:v>
                </c:pt>
                <c:pt idx="273">
                  <c:v>1.46228384</c:v>
                </c:pt>
                <c:pt idx="274">
                  <c:v>1.4669364</c:v>
                </c:pt>
                <c:pt idx="275">
                  <c:v>1.5767203400000001</c:v>
                </c:pt>
                <c:pt idx="276">
                  <c:v>1.5808637299999999</c:v>
                </c:pt>
                <c:pt idx="277">
                  <c:v>1.5843084199999999</c:v>
                </c:pt>
                <c:pt idx="278">
                  <c:v>1.4817705699999999</c:v>
                </c:pt>
                <c:pt idx="279">
                  <c:v>1.48508917</c:v>
                </c:pt>
                <c:pt idx="280">
                  <c:v>1.48891895</c:v>
                </c:pt>
                <c:pt idx="281">
                  <c:v>1.49214545</c:v>
                </c:pt>
                <c:pt idx="282">
                  <c:v>1.49532501</c:v>
                </c:pt>
                <c:pt idx="283">
                  <c:v>1.6054044700000001</c:v>
                </c:pt>
                <c:pt idx="284">
                  <c:v>1.6085480999999999</c:v>
                </c:pt>
                <c:pt idx="285">
                  <c:v>1.5040191199999999</c:v>
                </c:pt>
                <c:pt idx="286">
                  <c:v>1.50700492</c:v>
                </c:pt>
                <c:pt idx="287">
                  <c:v>1.50938382</c:v>
                </c:pt>
                <c:pt idx="288">
                  <c:v>1.51171214</c:v>
                </c:pt>
                <c:pt idx="289">
                  <c:v>1.5139892800000001</c:v>
                </c:pt>
                <c:pt idx="290">
                  <c:v>1.62249314</c:v>
                </c:pt>
                <c:pt idx="291">
                  <c:v>1.6246504100000001</c:v>
                </c:pt>
                <c:pt idx="292">
                  <c:v>1.5199504800000001</c:v>
                </c:pt>
                <c:pt idx="293">
                  <c:v>1.5220167099999999</c:v>
                </c:pt>
                <c:pt idx="294">
                  <c:v>1.52402868</c:v>
                </c:pt>
                <c:pt idx="295">
                  <c:v>1.5254288300000001</c:v>
                </c:pt>
                <c:pt idx="296">
                  <c:v>1.5262165400000001</c:v>
                </c:pt>
                <c:pt idx="297">
                  <c:v>1.6339092399999999</c:v>
                </c:pt>
                <c:pt idx="298">
                  <c:v>1.63439438</c:v>
                </c:pt>
                <c:pt idx="299">
                  <c:v>1.52935457</c:v>
                </c:pt>
                <c:pt idx="300">
                  <c:v>1.5299142999999999</c:v>
                </c:pt>
                <c:pt idx="301">
                  <c:v>1.5304155500000001</c:v>
                </c:pt>
                <c:pt idx="302">
                  <c:v>1.5308577400000001</c:v>
                </c:pt>
                <c:pt idx="303">
                  <c:v>1.53124031</c:v>
                </c:pt>
                <c:pt idx="304">
                  <c:v>1.6361696999999999</c:v>
                </c:pt>
                <c:pt idx="305">
                  <c:v>1.6356135199999999</c:v>
                </c:pt>
                <c:pt idx="306">
                  <c:v>1.53091087</c:v>
                </c:pt>
                <c:pt idx="307">
                  <c:v>1.52993559</c:v>
                </c:pt>
                <c:pt idx="308">
                  <c:v>1.52889802</c:v>
                </c:pt>
                <c:pt idx="309">
                  <c:v>1.52835458</c:v>
                </c:pt>
                <c:pt idx="310">
                  <c:v>1.5271909299999999</c:v>
                </c:pt>
                <c:pt idx="311">
                  <c:v>1.6290925300000001</c:v>
                </c:pt>
                <c:pt idx="312">
                  <c:v>1.62747084</c:v>
                </c:pt>
                <c:pt idx="313">
                  <c:v>1.5227588700000001</c:v>
                </c:pt>
                <c:pt idx="314">
                  <c:v>1.5207807499999999</c:v>
                </c:pt>
                <c:pt idx="315">
                  <c:v>1.5187372299999999</c:v>
                </c:pt>
                <c:pt idx="316">
                  <c:v>1.51607102</c:v>
                </c:pt>
                <c:pt idx="317">
                  <c:v>1.5133387199999999</c:v>
                </c:pt>
                <c:pt idx="318">
                  <c:v>1.6112064800000001</c:v>
                </c:pt>
                <c:pt idx="319">
                  <c:v>1.6065265500000001</c:v>
                </c:pt>
                <c:pt idx="320">
                  <c:v>1.5041852899999999</c:v>
                </c:pt>
                <c:pt idx="321">
                  <c:v>1.5011857200000001</c:v>
                </c:pt>
                <c:pt idx="322">
                  <c:v>1.49644793</c:v>
                </c:pt>
                <c:pt idx="323">
                  <c:v>1.49275644</c:v>
                </c:pt>
                <c:pt idx="324">
                  <c:v>1.4889972199999999</c:v>
                </c:pt>
                <c:pt idx="325">
                  <c:v>1.57976695</c:v>
                </c:pt>
                <c:pt idx="326">
                  <c:v>1.57464845</c:v>
                </c:pt>
                <c:pt idx="327">
                  <c:v>1.47452742</c:v>
                </c:pt>
                <c:pt idx="328">
                  <c:v>1.4693825</c:v>
                </c:pt>
                <c:pt idx="329">
                  <c:v>1.4641695800000001</c:v>
                </c:pt>
                <c:pt idx="330">
                  <c:v>1.45833174</c:v>
                </c:pt>
                <c:pt idx="331">
                  <c:v>1.45298295</c:v>
                </c:pt>
                <c:pt idx="332">
                  <c:v>1.53734989</c:v>
                </c:pt>
                <c:pt idx="333">
                  <c:v>1.53047464</c:v>
                </c:pt>
                <c:pt idx="334">
                  <c:v>1.43430276</c:v>
                </c:pt>
                <c:pt idx="335">
                  <c:v>1.42812692</c:v>
                </c:pt>
                <c:pt idx="336">
                  <c:v>1.4213271599999999</c:v>
                </c:pt>
                <c:pt idx="337">
                  <c:v>1.4139037699999999</c:v>
                </c:pt>
                <c:pt idx="338">
                  <c:v>1.4069709500000001</c:v>
                </c:pt>
                <c:pt idx="339">
                  <c:v>1.48331195</c:v>
                </c:pt>
                <c:pt idx="340">
                  <c:v>1.4753461299999999</c:v>
                </c:pt>
                <c:pt idx="341">
                  <c:v>1.3846642</c:v>
                </c:pt>
                <c:pt idx="342">
                  <c:v>1.3763560100000001</c:v>
                </c:pt>
                <c:pt idx="343">
                  <c:v>1.36854057</c:v>
                </c:pt>
                <c:pt idx="344">
                  <c:v>1.36010454</c:v>
                </c:pt>
                <c:pt idx="345">
                  <c:v>1.35216238</c:v>
                </c:pt>
                <c:pt idx="346">
                  <c:v>1.4197191300000001</c:v>
                </c:pt>
                <c:pt idx="347">
                  <c:v>1.4106825000000001</c:v>
                </c:pt>
                <c:pt idx="348">
                  <c:v>1.32573604</c:v>
                </c:pt>
                <c:pt idx="349">
                  <c:v>1.31699115</c:v>
                </c:pt>
                <c:pt idx="350">
                  <c:v>1.30874354</c:v>
                </c:pt>
                <c:pt idx="351">
                  <c:v>1.29932319</c:v>
                </c:pt>
                <c:pt idx="352">
                  <c:v>1.2904017299999999</c:v>
                </c:pt>
                <c:pt idx="353">
                  <c:v>1.35003319</c:v>
                </c:pt>
                <c:pt idx="354">
                  <c:v>1.33929889</c:v>
                </c:pt>
                <c:pt idx="355">
                  <c:v>1.26218377</c:v>
                </c:pt>
                <c:pt idx="356">
                  <c:v>1.25248194</c:v>
                </c:pt>
                <c:pt idx="357">
                  <c:v>1.2427265999999999</c:v>
                </c:pt>
                <c:pt idx="358">
                  <c:v>1.2329187399999999</c:v>
                </c:pt>
                <c:pt idx="359">
                  <c:v>1.2236163099999999</c:v>
                </c:pt>
                <c:pt idx="360">
                  <c:v>1.27516037</c:v>
                </c:pt>
                <c:pt idx="361">
                  <c:v>1.2647431499999999</c:v>
                </c:pt>
                <c:pt idx="362">
                  <c:v>1.1942967200000001</c:v>
                </c:pt>
                <c:pt idx="363">
                  <c:v>1.1847989800000001</c:v>
                </c:pt>
              </c:numCache>
            </c:numRef>
          </c:val>
          <c:smooth val="0"/>
          <c:extLst>
            <c:ext xmlns:c16="http://schemas.microsoft.com/office/drawing/2014/chart" uri="{C3380CC4-5D6E-409C-BE32-E72D297353CC}">
              <c16:uniqueId val="{00000000-4D55-4112-BAF8-2C5E6E82C383}"/>
            </c:ext>
          </c:extLst>
        </c:ser>
        <c:dLbls>
          <c:showLegendKey val="0"/>
          <c:showVal val="0"/>
          <c:showCatName val="0"/>
          <c:showSerName val="0"/>
          <c:showPercent val="0"/>
          <c:showBubbleSize val="0"/>
        </c:dLbls>
        <c:smooth val="0"/>
        <c:axId val="570484975"/>
        <c:axId val="1"/>
      </c:lineChart>
      <c:dateAx>
        <c:axId val="570484975"/>
        <c:scaling>
          <c:orientation val="minMax"/>
        </c:scaling>
        <c:delete val="0"/>
        <c:axPos val="b"/>
        <c:numFmt formatCode="m/d/yyyy" sourceLinked="0"/>
        <c:majorTickMark val="out"/>
        <c:minorTickMark val="none"/>
        <c:tickLblPos val="nextTo"/>
        <c:txPr>
          <a:bodyPr rot="-5400000" vert="horz"/>
          <a:lstStyle/>
          <a:p>
            <a:pPr>
              <a:defRPr/>
            </a:pPr>
            <a:endParaRPr lang="fr-FR"/>
          </a:p>
        </c:txPr>
        <c:crossAx val="1"/>
        <c:crosses val="autoZero"/>
        <c:auto val="1"/>
        <c:lblOffset val="100"/>
        <c:baseTimeUnit val="days"/>
      </c:dateAx>
      <c:valAx>
        <c:axId val="1"/>
        <c:scaling>
          <c:orientation val="minMax"/>
          <c:max val="2.5"/>
        </c:scaling>
        <c:delete val="0"/>
        <c:axPos val="l"/>
        <c:majorGridlines/>
        <c:numFmt formatCode="0.0" sourceLinked="0"/>
        <c:majorTickMark val="out"/>
        <c:minorTickMark val="none"/>
        <c:tickLblPos val="nextTo"/>
        <c:crossAx val="570484975"/>
        <c:crosses val="autoZero"/>
        <c:crossBetween val="between"/>
        <c:majorUnit val="0.5"/>
        <c:minorUnit val="0.1"/>
      </c:valAx>
    </c:plotArea>
    <c:plotVisOnly val="1"/>
    <c:dispBlanksAs val="gap"/>
    <c:showDLblsOverMax val="0"/>
  </c:chart>
  <c:printSettings>
    <c:headerFooter/>
    <c:pageMargins b="0.750000000000003" l="0.70000000000000062" r="0.70000000000000062" t="0.750000000000003"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Profils!$E$1</c:f>
              <c:strCache>
                <c:ptCount val="1"/>
                <c:pt idx="0">
                  <c:v>P012</c:v>
                </c:pt>
              </c:strCache>
            </c:strRef>
          </c:tx>
          <c:spPr>
            <a:ln w="19050"/>
          </c:spPr>
          <c:marker>
            <c:symbol val="none"/>
          </c:marker>
          <c:cat>
            <c:numRef>
              <c:f>Profils!$B$2:$B$365</c:f>
              <c:numCache>
                <c:formatCode>m/d/yyyy</c:formatCode>
                <c:ptCount val="364"/>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pt idx="31">
                  <c:v>46144</c:v>
                </c:pt>
                <c:pt idx="32">
                  <c:v>46145</c:v>
                </c:pt>
                <c:pt idx="33">
                  <c:v>46146</c:v>
                </c:pt>
                <c:pt idx="34">
                  <c:v>46147</c:v>
                </c:pt>
                <c:pt idx="35">
                  <c:v>46148</c:v>
                </c:pt>
                <c:pt idx="36">
                  <c:v>46149</c:v>
                </c:pt>
                <c:pt idx="37">
                  <c:v>46150</c:v>
                </c:pt>
                <c:pt idx="38">
                  <c:v>46151</c:v>
                </c:pt>
                <c:pt idx="39">
                  <c:v>46152</c:v>
                </c:pt>
                <c:pt idx="40">
                  <c:v>46153</c:v>
                </c:pt>
                <c:pt idx="41">
                  <c:v>46154</c:v>
                </c:pt>
                <c:pt idx="42">
                  <c:v>46155</c:v>
                </c:pt>
                <c:pt idx="43">
                  <c:v>46156</c:v>
                </c:pt>
                <c:pt idx="44">
                  <c:v>46157</c:v>
                </c:pt>
                <c:pt idx="45">
                  <c:v>46158</c:v>
                </c:pt>
                <c:pt idx="46">
                  <c:v>46159</c:v>
                </c:pt>
                <c:pt idx="47">
                  <c:v>46160</c:v>
                </c:pt>
                <c:pt idx="48">
                  <c:v>46161</c:v>
                </c:pt>
                <c:pt idx="49">
                  <c:v>46162</c:v>
                </c:pt>
                <c:pt idx="50">
                  <c:v>46163</c:v>
                </c:pt>
                <c:pt idx="51">
                  <c:v>46164</c:v>
                </c:pt>
                <c:pt idx="52">
                  <c:v>46165</c:v>
                </c:pt>
                <c:pt idx="53">
                  <c:v>46166</c:v>
                </c:pt>
                <c:pt idx="54">
                  <c:v>46167</c:v>
                </c:pt>
                <c:pt idx="55">
                  <c:v>46168</c:v>
                </c:pt>
                <c:pt idx="56">
                  <c:v>46169</c:v>
                </c:pt>
                <c:pt idx="57">
                  <c:v>46170</c:v>
                </c:pt>
                <c:pt idx="58">
                  <c:v>46171</c:v>
                </c:pt>
                <c:pt idx="59">
                  <c:v>46172</c:v>
                </c:pt>
                <c:pt idx="60">
                  <c:v>46173</c:v>
                </c:pt>
                <c:pt idx="61">
                  <c:v>46174</c:v>
                </c:pt>
                <c:pt idx="62">
                  <c:v>46175</c:v>
                </c:pt>
                <c:pt idx="63">
                  <c:v>46176</c:v>
                </c:pt>
                <c:pt idx="64">
                  <c:v>46177</c:v>
                </c:pt>
                <c:pt idx="65">
                  <c:v>46178</c:v>
                </c:pt>
                <c:pt idx="66">
                  <c:v>46179</c:v>
                </c:pt>
                <c:pt idx="67">
                  <c:v>46180</c:v>
                </c:pt>
                <c:pt idx="68">
                  <c:v>46181</c:v>
                </c:pt>
                <c:pt idx="69">
                  <c:v>46182</c:v>
                </c:pt>
                <c:pt idx="70">
                  <c:v>46183</c:v>
                </c:pt>
                <c:pt idx="71">
                  <c:v>46184</c:v>
                </c:pt>
                <c:pt idx="72">
                  <c:v>46185</c:v>
                </c:pt>
                <c:pt idx="73">
                  <c:v>46186</c:v>
                </c:pt>
                <c:pt idx="74">
                  <c:v>46187</c:v>
                </c:pt>
                <c:pt idx="75">
                  <c:v>46188</c:v>
                </c:pt>
                <c:pt idx="76">
                  <c:v>46189</c:v>
                </c:pt>
                <c:pt idx="77">
                  <c:v>46190</c:v>
                </c:pt>
                <c:pt idx="78">
                  <c:v>46191</c:v>
                </c:pt>
                <c:pt idx="79">
                  <c:v>46192</c:v>
                </c:pt>
                <c:pt idx="80">
                  <c:v>46193</c:v>
                </c:pt>
                <c:pt idx="81">
                  <c:v>46194</c:v>
                </c:pt>
                <c:pt idx="82">
                  <c:v>46195</c:v>
                </c:pt>
                <c:pt idx="83">
                  <c:v>46196</c:v>
                </c:pt>
                <c:pt idx="84">
                  <c:v>46197</c:v>
                </c:pt>
                <c:pt idx="85">
                  <c:v>46198</c:v>
                </c:pt>
                <c:pt idx="86">
                  <c:v>46199</c:v>
                </c:pt>
                <c:pt idx="87">
                  <c:v>46200</c:v>
                </c:pt>
                <c:pt idx="88">
                  <c:v>46201</c:v>
                </c:pt>
                <c:pt idx="89">
                  <c:v>46202</c:v>
                </c:pt>
                <c:pt idx="90">
                  <c:v>46203</c:v>
                </c:pt>
                <c:pt idx="91">
                  <c:v>46204</c:v>
                </c:pt>
                <c:pt idx="92">
                  <c:v>46205</c:v>
                </c:pt>
                <c:pt idx="93">
                  <c:v>46206</c:v>
                </c:pt>
                <c:pt idx="94">
                  <c:v>46207</c:v>
                </c:pt>
                <c:pt idx="95">
                  <c:v>46208</c:v>
                </c:pt>
                <c:pt idx="96">
                  <c:v>46209</c:v>
                </c:pt>
                <c:pt idx="97">
                  <c:v>46210</c:v>
                </c:pt>
                <c:pt idx="98">
                  <c:v>46211</c:v>
                </c:pt>
                <c:pt idx="99">
                  <c:v>46212</c:v>
                </c:pt>
                <c:pt idx="100">
                  <c:v>46213</c:v>
                </c:pt>
                <c:pt idx="101">
                  <c:v>46214</c:v>
                </c:pt>
                <c:pt idx="102">
                  <c:v>46215</c:v>
                </c:pt>
                <c:pt idx="103">
                  <c:v>46216</c:v>
                </c:pt>
                <c:pt idx="104">
                  <c:v>46217</c:v>
                </c:pt>
                <c:pt idx="105">
                  <c:v>46218</c:v>
                </c:pt>
                <c:pt idx="106">
                  <c:v>46219</c:v>
                </c:pt>
                <c:pt idx="107">
                  <c:v>46220</c:v>
                </c:pt>
                <c:pt idx="108">
                  <c:v>46221</c:v>
                </c:pt>
                <c:pt idx="109">
                  <c:v>46222</c:v>
                </c:pt>
                <c:pt idx="110">
                  <c:v>46223</c:v>
                </c:pt>
                <c:pt idx="111">
                  <c:v>46224</c:v>
                </c:pt>
                <c:pt idx="112">
                  <c:v>46225</c:v>
                </c:pt>
                <c:pt idx="113">
                  <c:v>46226</c:v>
                </c:pt>
                <c:pt idx="114">
                  <c:v>46227</c:v>
                </c:pt>
                <c:pt idx="115">
                  <c:v>46228</c:v>
                </c:pt>
                <c:pt idx="116">
                  <c:v>46229</c:v>
                </c:pt>
                <c:pt idx="117">
                  <c:v>46230</c:v>
                </c:pt>
                <c:pt idx="118">
                  <c:v>46231</c:v>
                </c:pt>
                <c:pt idx="119">
                  <c:v>46232</c:v>
                </c:pt>
                <c:pt idx="120">
                  <c:v>46233</c:v>
                </c:pt>
                <c:pt idx="121">
                  <c:v>46234</c:v>
                </c:pt>
                <c:pt idx="122">
                  <c:v>46235</c:v>
                </c:pt>
                <c:pt idx="123">
                  <c:v>46236</c:v>
                </c:pt>
                <c:pt idx="124">
                  <c:v>46237</c:v>
                </c:pt>
                <c:pt idx="125">
                  <c:v>46238</c:v>
                </c:pt>
                <c:pt idx="126">
                  <c:v>46239</c:v>
                </c:pt>
                <c:pt idx="127">
                  <c:v>46240</c:v>
                </c:pt>
                <c:pt idx="128">
                  <c:v>46241</c:v>
                </c:pt>
                <c:pt idx="129">
                  <c:v>46242</c:v>
                </c:pt>
                <c:pt idx="130">
                  <c:v>46243</c:v>
                </c:pt>
                <c:pt idx="131">
                  <c:v>46244</c:v>
                </c:pt>
                <c:pt idx="132">
                  <c:v>46245</c:v>
                </c:pt>
                <c:pt idx="133">
                  <c:v>46246</c:v>
                </c:pt>
                <c:pt idx="134">
                  <c:v>46247</c:v>
                </c:pt>
                <c:pt idx="135">
                  <c:v>46248</c:v>
                </c:pt>
                <c:pt idx="136">
                  <c:v>46249</c:v>
                </c:pt>
                <c:pt idx="137">
                  <c:v>46250</c:v>
                </c:pt>
                <c:pt idx="138">
                  <c:v>46251</c:v>
                </c:pt>
                <c:pt idx="139">
                  <c:v>46252</c:v>
                </c:pt>
                <c:pt idx="140">
                  <c:v>46253</c:v>
                </c:pt>
                <c:pt idx="141">
                  <c:v>46254</c:v>
                </c:pt>
                <c:pt idx="142">
                  <c:v>46255</c:v>
                </c:pt>
                <c:pt idx="143">
                  <c:v>46256</c:v>
                </c:pt>
                <c:pt idx="144">
                  <c:v>46257</c:v>
                </c:pt>
                <c:pt idx="145">
                  <c:v>46258</c:v>
                </c:pt>
                <c:pt idx="146">
                  <c:v>46259</c:v>
                </c:pt>
                <c:pt idx="147">
                  <c:v>46260</c:v>
                </c:pt>
                <c:pt idx="148">
                  <c:v>46261</c:v>
                </c:pt>
                <c:pt idx="149">
                  <c:v>46262</c:v>
                </c:pt>
                <c:pt idx="150">
                  <c:v>46263</c:v>
                </c:pt>
                <c:pt idx="151">
                  <c:v>46264</c:v>
                </c:pt>
                <c:pt idx="152">
                  <c:v>46265</c:v>
                </c:pt>
                <c:pt idx="153">
                  <c:v>46266</c:v>
                </c:pt>
                <c:pt idx="154">
                  <c:v>46267</c:v>
                </c:pt>
                <c:pt idx="155">
                  <c:v>46268</c:v>
                </c:pt>
                <c:pt idx="156">
                  <c:v>46269</c:v>
                </c:pt>
                <c:pt idx="157">
                  <c:v>46270</c:v>
                </c:pt>
                <c:pt idx="158">
                  <c:v>46271</c:v>
                </c:pt>
                <c:pt idx="159">
                  <c:v>46272</c:v>
                </c:pt>
                <c:pt idx="160">
                  <c:v>46273</c:v>
                </c:pt>
                <c:pt idx="161">
                  <c:v>46274</c:v>
                </c:pt>
                <c:pt idx="162">
                  <c:v>46275</c:v>
                </c:pt>
                <c:pt idx="163">
                  <c:v>46276</c:v>
                </c:pt>
                <c:pt idx="164">
                  <c:v>46277</c:v>
                </c:pt>
                <c:pt idx="165">
                  <c:v>46278</c:v>
                </c:pt>
                <c:pt idx="166">
                  <c:v>46279</c:v>
                </c:pt>
                <c:pt idx="167">
                  <c:v>46280</c:v>
                </c:pt>
                <c:pt idx="168">
                  <c:v>46281</c:v>
                </c:pt>
                <c:pt idx="169">
                  <c:v>46282</c:v>
                </c:pt>
                <c:pt idx="170">
                  <c:v>46283</c:v>
                </c:pt>
                <c:pt idx="171">
                  <c:v>46284</c:v>
                </c:pt>
                <c:pt idx="172">
                  <c:v>46285</c:v>
                </c:pt>
                <c:pt idx="173">
                  <c:v>46286</c:v>
                </c:pt>
                <c:pt idx="174">
                  <c:v>46287</c:v>
                </c:pt>
                <c:pt idx="175">
                  <c:v>46288</c:v>
                </c:pt>
                <c:pt idx="176">
                  <c:v>46289</c:v>
                </c:pt>
                <c:pt idx="177">
                  <c:v>46290</c:v>
                </c:pt>
                <c:pt idx="178">
                  <c:v>46291</c:v>
                </c:pt>
                <c:pt idx="179">
                  <c:v>46292</c:v>
                </c:pt>
                <c:pt idx="180">
                  <c:v>46293</c:v>
                </c:pt>
                <c:pt idx="181">
                  <c:v>46294</c:v>
                </c:pt>
                <c:pt idx="182">
                  <c:v>46295</c:v>
                </c:pt>
                <c:pt idx="183">
                  <c:v>46296</c:v>
                </c:pt>
                <c:pt idx="184">
                  <c:v>46297</c:v>
                </c:pt>
                <c:pt idx="185">
                  <c:v>46298</c:v>
                </c:pt>
                <c:pt idx="186">
                  <c:v>46299</c:v>
                </c:pt>
                <c:pt idx="187">
                  <c:v>46300</c:v>
                </c:pt>
                <c:pt idx="188">
                  <c:v>46301</c:v>
                </c:pt>
                <c:pt idx="189">
                  <c:v>46302</c:v>
                </c:pt>
                <c:pt idx="190">
                  <c:v>46303</c:v>
                </c:pt>
                <c:pt idx="191">
                  <c:v>46304</c:v>
                </c:pt>
                <c:pt idx="192">
                  <c:v>46305</c:v>
                </c:pt>
                <c:pt idx="193">
                  <c:v>46306</c:v>
                </c:pt>
                <c:pt idx="194">
                  <c:v>46307</c:v>
                </c:pt>
                <c:pt idx="195">
                  <c:v>46308</c:v>
                </c:pt>
                <c:pt idx="196">
                  <c:v>46309</c:v>
                </c:pt>
                <c:pt idx="197">
                  <c:v>46310</c:v>
                </c:pt>
                <c:pt idx="198">
                  <c:v>46311</c:v>
                </c:pt>
                <c:pt idx="199">
                  <c:v>46312</c:v>
                </c:pt>
                <c:pt idx="200">
                  <c:v>46313</c:v>
                </c:pt>
                <c:pt idx="201">
                  <c:v>46314</c:v>
                </c:pt>
                <c:pt idx="202">
                  <c:v>46315</c:v>
                </c:pt>
                <c:pt idx="203">
                  <c:v>46316</c:v>
                </c:pt>
                <c:pt idx="204">
                  <c:v>46317</c:v>
                </c:pt>
                <c:pt idx="205">
                  <c:v>46318</c:v>
                </c:pt>
                <c:pt idx="206">
                  <c:v>46319</c:v>
                </c:pt>
                <c:pt idx="207">
                  <c:v>46320</c:v>
                </c:pt>
                <c:pt idx="208">
                  <c:v>46321</c:v>
                </c:pt>
                <c:pt idx="209">
                  <c:v>46322</c:v>
                </c:pt>
                <c:pt idx="210">
                  <c:v>46323</c:v>
                </c:pt>
                <c:pt idx="211">
                  <c:v>46324</c:v>
                </c:pt>
                <c:pt idx="212">
                  <c:v>46325</c:v>
                </c:pt>
                <c:pt idx="213">
                  <c:v>46326</c:v>
                </c:pt>
                <c:pt idx="214">
                  <c:v>46327</c:v>
                </c:pt>
                <c:pt idx="215">
                  <c:v>46328</c:v>
                </c:pt>
                <c:pt idx="216">
                  <c:v>46329</c:v>
                </c:pt>
                <c:pt idx="217">
                  <c:v>46330</c:v>
                </c:pt>
                <c:pt idx="218">
                  <c:v>46331</c:v>
                </c:pt>
                <c:pt idx="219">
                  <c:v>46332</c:v>
                </c:pt>
                <c:pt idx="220">
                  <c:v>46333</c:v>
                </c:pt>
                <c:pt idx="221">
                  <c:v>46334</c:v>
                </c:pt>
                <c:pt idx="222">
                  <c:v>46335</c:v>
                </c:pt>
                <c:pt idx="223">
                  <c:v>46336</c:v>
                </c:pt>
                <c:pt idx="224">
                  <c:v>46337</c:v>
                </c:pt>
                <c:pt idx="225">
                  <c:v>46338</c:v>
                </c:pt>
                <c:pt idx="226">
                  <c:v>46339</c:v>
                </c:pt>
                <c:pt idx="227">
                  <c:v>46340</c:v>
                </c:pt>
                <c:pt idx="228">
                  <c:v>46341</c:v>
                </c:pt>
                <c:pt idx="229">
                  <c:v>46342</c:v>
                </c:pt>
                <c:pt idx="230">
                  <c:v>46343</c:v>
                </c:pt>
                <c:pt idx="231">
                  <c:v>46344</c:v>
                </c:pt>
                <c:pt idx="232">
                  <c:v>46345</c:v>
                </c:pt>
                <c:pt idx="233">
                  <c:v>46346</c:v>
                </c:pt>
                <c:pt idx="234">
                  <c:v>46347</c:v>
                </c:pt>
                <c:pt idx="235">
                  <c:v>46348</c:v>
                </c:pt>
                <c:pt idx="236">
                  <c:v>46349</c:v>
                </c:pt>
                <c:pt idx="237">
                  <c:v>46350</c:v>
                </c:pt>
                <c:pt idx="238">
                  <c:v>46351</c:v>
                </c:pt>
                <c:pt idx="239">
                  <c:v>46352</c:v>
                </c:pt>
                <c:pt idx="240">
                  <c:v>46353</c:v>
                </c:pt>
                <c:pt idx="241">
                  <c:v>46354</c:v>
                </c:pt>
                <c:pt idx="242">
                  <c:v>46355</c:v>
                </c:pt>
                <c:pt idx="243">
                  <c:v>46356</c:v>
                </c:pt>
                <c:pt idx="244">
                  <c:v>46357</c:v>
                </c:pt>
                <c:pt idx="245">
                  <c:v>46358</c:v>
                </c:pt>
                <c:pt idx="246">
                  <c:v>46359</c:v>
                </c:pt>
                <c:pt idx="247">
                  <c:v>46360</c:v>
                </c:pt>
                <c:pt idx="248">
                  <c:v>46361</c:v>
                </c:pt>
                <c:pt idx="249">
                  <c:v>46362</c:v>
                </c:pt>
                <c:pt idx="250">
                  <c:v>46363</c:v>
                </c:pt>
                <c:pt idx="251">
                  <c:v>46364</c:v>
                </c:pt>
                <c:pt idx="252">
                  <c:v>46365</c:v>
                </c:pt>
                <c:pt idx="253">
                  <c:v>46366</c:v>
                </c:pt>
                <c:pt idx="254">
                  <c:v>46367</c:v>
                </c:pt>
                <c:pt idx="255">
                  <c:v>46368</c:v>
                </c:pt>
                <c:pt idx="256">
                  <c:v>46369</c:v>
                </c:pt>
                <c:pt idx="257">
                  <c:v>46370</c:v>
                </c:pt>
                <c:pt idx="258">
                  <c:v>46371</c:v>
                </c:pt>
                <c:pt idx="259">
                  <c:v>46372</c:v>
                </c:pt>
                <c:pt idx="260">
                  <c:v>46373</c:v>
                </c:pt>
                <c:pt idx="261">
                  <c:v>46374</c:v>
                </c:pt>
                <c:pt idx="262">
                  <c:v>46375</c:v>
                </c:pt>
                <c:pt idx="263">
                  <c:v>46376</c:v>
                </c:pt>
                <c:pt idx="264">
                  <c:v>46377</c:v>
                </c:pt>
                <c:pt idx="265">
                  <c:v>46378</c:v>
                </c:pt>
                <c:pt idx="266">
                  <c:v>46379</c:v>
                </c:pt>
                <c:pt idx="267">
                  <c:v>46380</c:v>
                </c:pt>
                <c:pt idx="268">
                  <c:v>46381</c:v>
                </c:pt>
                <c:pt idx="269">
                  <c:v>46382</c:v>
                </c:pt>
                <c:pt idx="270">
                  <c:v>46383</c:v>
                </c:pt>
                <c:pt idx="271">
                  <c:v>46384</c:v>
                </c:pt>
                <c:pt idx="272">
                  <c:v>46385</c:v>
                </c:pt>
                <c:pt idx="273">
                  <c:v>46386</c:v>
                </c:pt>
                <c:pt idx="274">
                  <c:v>46387</c:v>
                </c:pt>
                <c:pt idx="275">
                  <c:v>46388</c:v>
                </c:pt>
                <c:pt idx="276">
                  <c:v>46389</c:v>
                </c:pt>
                <c:pt idx="277">
                  <c:v>46390</c:v>
                </c:pt>
                <c:pt idx="278">
                  <c:v>46391</c:v>
                </c:pt>
                <c:pt idx="279">
                  <c:v>46392</c:v>
                </c:pt>
                <c:pt idx="280">
                  <c:v>46393</c:v>
                </c:pt>
                <c:pt idx="281">
                  <c:v>46394</c:v>
                </c:pt>
                <c:pt idx="282">
                  <c:v>46395</c:v>
                </c:pt>
                <c:pt idx="283">
                  <c:v>46396</c:v>
                </c:pt>
                <c:pt idx="284">
                  <c:v>46397</c:v>
                </c:pt>
                <c:pt idx="285">
                  <c:v>46398</c:v>
                </c:pt>
                <c:pt idx="286">
                  <c:v>46399</c:v>
                </c:pt>
                <c:pt idx="287">
                  <c:v>46400</c:v>
                </c:pt>
                <c:pt idx="288">
                  <c:v>46401</c:v>
                </c:pt>
                <c:pt idx="289">
                  <c:v>46402</c:v>
                </c:pt>
                <c:pt idx="290">
                  <c:v>46403</c:v>
                </c:pt>
                <c:pt idx="291">
                  <c:v>46404</c:v>
                </c:pt>
                <c:pt idx="292">
                  <c:v>46405</c:v>
                </c:pt>
                <c:pt idx="293">
                  <c:v>46406</c:v>
                </c:pt>
                <c:pt idx="294">
                  <c:v>46407</c:v>
                </c:pt>
                <c:pt idx="295">
                  <c:v>46408</c:v>
                </c:pt>
                <c:pt idx="296">
                  <c:v>46409</c:v>
                </c:pt>
                <c:pt idx="297">
                  <c:v>46410</c:v>
                </c:pt>
                <c:pt idx="298">
                  <c:v>46411</c:v>
                </c:pt>
                <c:pt idx="299">
                  <c:v>46412</c:v>
                </c:pt>
                <c:pt idx="300">
                  <c:v>46413</c:v>
                </c:pt>
                <c:pt idx="301">
                  <c:v>46414</c:v>
                </c:pt>
                <c:pt idx="302">
                  <c:v>46415</c:v>
                </c:pt>
                <c:pt idx="303">
                  <c:v>46416</c:v>
                </c:pt>
                <c:pt idx="304">
                  <c:v>46417</c:v>
                </c:pt>
                <c:pt idx="305">
                  <c:v>46418</c:v>
                </c:pt>
                <c:pt idx="306">
                  <c:v>46419</c:v>
                </c:pt>
                <c:pt idx="307">
                  <c:v>46420</c:v>
                </c:pt>
                <c:pt idx="308">
                  <c:v>46421</c:v>
                </c:pt>
                <c:pt idx="309">
                  <c:v>46422</c:v>
                </c:pt>
                <c:pt idx="310">
                  <c:v>46423</c:v>
                </c:pt>
                <c:pt idx="311">
                  <c:v>46424</c:v>
                </c:pt>
                <c:pt idx="312">
                  <c:v>46425</c:v>
                </c:pt>
                <c:pt idx="313">
                  <c:v>46426</c:v>
                </c:pt>
                <c:pt idx="314">
                  <c:v>46427</c:v>
                </c:pt>
                <c:pt idx="315">
                  <c:v>46428</c:v>
                </c:pt>
                <c:pt idx="316">
                  <c:v>46429</c:v>
                </c:pt>
                <c:pt idx="317">
                  <c:v>46430</c:v>
                </c:pt>
                <c:pt idx="318">
                  <c:v>46431</c:v>
                </c:pt>
                <c:pt idx="319">
                  <c:v>46432</c:v>
                </c:pt>
                <c:pt idx="320">
                  <c:v>46433</c:v>
                </c:pt>
                <c:pt idx="321">
                  <c:v>46434</c:v>
                </c:pt>
                <c:pt idx="322">
                  <c:v>46435</c:v>
                </c:pt>
                <c:pt idx="323">
                  <c:v>46436</c:v>
                </c:pt>
                <c:pt idx="324">
                  <c:v>46437</c:v>
                </c:pt>
                <c:pt idx="325">
                  <c:v>46438</c:v>
                </c:pt>
                <c:pt idx="326">
                  <c:v>46439</c:v>
                </c:pt>
                <c:pt idx="327">
                  <c:v>46440</c:v>
                </c:pt>
                <c:pt idx="328">
                  <c:v>46441</c:v>
                </c:pt>
                <c:pt idx="329">
                  <c:v>46442</c:v>
                </c:pt>
                <c:pt idx="330">
                  <c:v>46443</c:v>
                </c:pt>
                <c:pt idx="331">
                  <c:v>46444</c:v>
                </c:pt>
                <c:pt idx="332">
                  <c:v>46445</c:v>
                </c:pt>
                <c:pt idx="333">
                  <c:v>46446</c:v>
                </c:pt>
                <c:pt idx="334">
                  <c:v>46447</c:v>
                </c:pt>
                <c:pt idx="335">
                  <c:v>46448</c:v>
                </c:pt>
                <c:pt idx="336">
                  <c:v>46449</c:v>
                </c:pt>
                <c:pt idx="337">
                  <c:v>46450</c:v>
                </c:pt>
                <c:pt idx="338">
                  <c:v>46451</c:v>
                </c:pt>
                <c:pt idx="339">
                  <c:v>46452</c:v>
                </c:pt>
                <c:pt idx="340">
                  <c:v>46453</c:v>
                </c:pt>
                <c:pt idx="341">
                  <c:v>46454</c:v>
                </c:pt>
                <c:pt idx="342">
                  <c:v>46455</c:v>
                </c:pt>
                <c:pt idx="343">
                  <c:v>46456</c:v>
                </c:pt>
                <c:pt idx="344">
                  <c:v>46457</c:v>
                </c:pt>
                <c:pt idx="345">
                  <c:v>46458</c:v>
                </c:pt>
                <c:pt idx="346">
                  <c:v>46459</c:v>
                </c:pt>
                <c:pt idx="347">
                  <c:v>46460</c:v>
                </c:pt>
                <c:pt idx="348">
                  <c:v>46461</c:v>
                </c:pt>
                <c:pt idx="349">
                  <c:v>46462</c:v>
                </c:pt>
                <c:pt idx="350">
                  <c:v>46463</c:v>
                </c:pt>
                <c:pt idx="351">
                  <c:v>46464</c:v>
                </c:pt>
                <c:pt idx="352">
                  <c:v>46465</c:v>
                </c:pt>
                <c:pt idx="353">
                  <c:v>46466</c:v>
                </c:pt>
                <c:pt idx="354">
                  <c:v>46467</c:v>
                </c:pt>
                <c:pt idx="355">
                  <c:v>46468</c:v>
                </c:pt>
                <c:pt idx="356">
                  <c:v>46469</c:v>
                </c:pt>
                <c:pt idx="357">
                  <c:v>46470</c:v>
                </c:pt>
                <c:pt idx="358">
                  <c:v>46471</c:v>
                </c:pt>
                <c:pt idx="359">
                  <c:v>46472</c:v>
                </c:pt>
                <c:pt idx="360">
                  <c:v>46473</c:v>
                </c:pt>
                <c:pt idx="361">
                  <c:v>46474</c:v>
                </c:pt>
                <c:pt idx="362">
                  <c:v>46475</c:v>
                </c:pt>
                <c:pt idx="363">
                  <c:v>46476</c:v>
                </c:pt>
              </c:numCache>
            </c:numRef>
          </c:cat>
          <c:val>
            <c:numRef>
              <c:f>Profils!$E$2:$E$365</c:f>
              <c:numCache>
                <c:formatCode>General</c:formatCode>
                <c:ptCount val="364"/>
                <c:pt idx="0">
                  <c:v>1.27577348</c:v>
                </c:pt>
                <c:pt idx="1">
                  <c:v>1.25448581</c:v>
                </c:pt>
                <c:pt idx="2">
                  <c:v>1.23151583</c:v>
                </c:pt>
                <c:pt idx="3">
                  <c:v>1.16604804</c:v>
                </c:pt>
                <c:pt idx="4">
                  <c:v>1.1446929299999999</c:v>
                </c:pt>
                <c:pt idx="5">
                  <c:v>1.12332231</c:v>
                </c:pt>
                <c:pt idx="6">
                  <c:v>1.14610747</c:v>
                </c:pt>
                <c:pt idx="7">
                  <c:v>1.12304984</c:v>
                </c:pt>
                <c:pt idx="8">
                  <c:v>1.10330259</c:v>
                </c:pt>
                <c:pt idx="9">
                  <c:v>1.08187696</c:v>
                </c:pt>
                <c:pt idx="10">
                  <c:v>1.0162540799999999</c:v>
                </c:pt>
                <c:pt idx="11">
                  <c:v>0.99647838</c:v>
                </c:pt>
                <c:pt idx="12">
                  <c:v>1.02084051</c:v>
                </c:pt>
                <c:pt idx="13">
                  <c:v>0.99769653000000003</c:v>
                </c:pt>
                <c:pt idx="14">
                  <c:v>0.97786640000000002</c:v>
                </c:pt>
                <c:pt idx="15">
                  <c:v>0.95802449999999995</c:v>
                </c:pt>
                <c:pt idx="16">
                  <c:v>0.93983452000000001</c:v>
                </c:pt>
                <c:pt idx="17">
                  <c:v>0.87423622000000001</c:v>
                </c:pt>
                <c:pt idx="18">
                  <c:v>0.85438762999999995</c:v>
                </c:pt>
                <c:pt idx="19">
                  <c:v>0.87855084000000006</c:v>
                </c:pt>
                <c:pt idx="20">
                  <c:v>0.85865880999999999</c:v>
                </c:pt>
                <c:pt idx="21">
                  <c:v>0.84042159999999999</c:v>
                </c:pt>
                <c:pt idx="22">
                  <c:v>0.82051355999999998</c:v>
                </c:pt>
                <c:pt idx="23">
                  <c:v>0.80059835999999995</c:v>
                </c:pt>
                <c:pt idx="24">
                  <c:v>0.73681587000000004</c:v>
                </c:pt>
                <c:pt idx="25">
                  <c:v>0.71859684999999995</c:v>
                </c:pt>
                <c:pt idx="26">
                  <c:v>0.74247854999999996</c:v>
                </c:pt>
                <c:pt idx="27">
                  <c:v>0.72420342000000004</c:v>
                </c:pt>
                <c:pt idx="28">
                  <c:v>0.70592390000000005</c:v>
                </c:pt>
                <c:pt idx="29">
                  <c:v>0.68597741000000001</c:v>
                </c:pt>
                <c:pt idx="30">
                  <c:v>0.62408375999999999</c:v>
                </c:pt>
                <c:pt idx="31">
                  <c:v>0.60416537999999997</c:v>
                </c:pt>
                <c:pt idx="32">
                  <c:v>0.58424496999999997</c:v>
                </c:pt>
                <c:pt idx="33">
                  <c:v>0.60948955000000005</c:v>
                </c:pt>
                <c:pt idx="34">
                  <c:v>0.58953155999999995</c:v>
                </c:pt>
                <c:pt idx="35">
                  <c:v>0.57123586999999998</c:v>
                </c:pt>
                <c:pt idx="36">
                  <c:v>0.55293988000000005</c:v>
                </c:pt>
                <c:pt idx="37">
                  <c:v>0.48966019</c:v>
                </c:pt>
                <c:pt idx="38">
                  <c:v>0.47141419000000001</c:v>
                </c:pt>
                <c:pt idx="39">
                  <c:v>0.45149175000000003</c:v>
                </c:pt>
                <c:pt idx="40">
                  <c:v>0.47477281999999998</c:v>
                </c:pt>
                <c:pt idx="41">
                  <c:v>0.45481911000000003</c:v>
                </c:pt>
                <c:pt idx="42">
                  <c:v>0.43653092999999998</c:v>
                </c:pt>
                <c:pt idx="43">
                  <c:v>0.37349684</c:v>
                </c:pt>
                <c:pt idx="44">
                  <c:v>0.39663725999999999</c:v>
                </c:pt>
                <c:pt idx="45">
                  <c:v>0.33367645000000001</c:v>
                </c:pt>
                <c:pt idx="46">
                  <c:v>0.31377145000000001</c:v>
                </c:pt>
                <c:pt idx="47">
                  <c:v>0.33516207999999997</c:v>
                </c:pt>
                <c:pt idx="48">
                  <c:v>0.31523387000000003</c:v>
                </c:pt>
                <c:pt idx="49">
                  <c:v>0.29364775999999998</c:v>
                </c:pt>
                <c:pt idx="50">
                  <c:v>0.27373033000000002</c:v>
                </c:pt>
                <c:pt idx="51">
                  <c:v>0.25381882</c:v>
                </c:pt>
                <c:pt idx="52">
                  <c:v>0.23330429999999999</c:v>
                </c:pt>
                <c:pt idx="53">
                  <c:v>0.23188526000000001</c:v>
                </c:pt>
                <c:pt idx="54">
                  <c:v>0.23047237000000001</c:v>
                </c:pt>
                <c:pt idx="55">
                  <c:v>0.24197801999999999</c:v>
                </c:pt>
                <c:pt idx="56">
                  <c:v>0.24039543999999999</c:v>
                </c:pt>
                <c:pt idx="57">
                  <c:v>0.23882078000000001</c:v>
                </c:pt>
                <c:pt idx="58">
                  <c:v>0.23725436</c:v>
                </c:pt>
                <c:pt idx="59">
                  <c:v>0.22351024999999999</c:v>
                </c:pt>
                <c:pt idx="60">
                  <c:v>0.22214020000000001</c:v>
                </c:pt>
                <c:pt idx="61">
                  <c:v>0.23260752000000001</c:v>
                </c:pt>
                <c:pt idx="62">
                  <c:v>0.23107702999999999</c:v>
                </c:pt>
                <c:pt idx="63">
                  <c:v>0.22955623999999999</c:v>
                </c:pt>
                <c:pt idx="64">
                  <c:v>0.22804543999999999</c:v>
                </c:pt>
                <c:pt idx="65">
                  <c:v>0.22654489999999999</c:v>
                </c:pt>
                <c:pt idx="66">
                  <c:v>0.21409832000000001</c:v>
                </c:pt>
                <c:pt idx="67">
                  <c:v>0.21279005000000001</c:v>
                </c:pt>
                <c:pt idx="68">
                  <c:v>0.22210754999999999</c:v>
                </c:pt>
                <c:pt idx="69">
                  <c:v>0.22065076</c:v>
                </c:pt>
                <c:pt idx="70">
                  <c:v>0.21920555999999999</c:v>
                </c:pt>
                <c:pt idx="71">
                  <c:v>0.21777223000000001</c:v>
                </c:pt>
                <c:pt idx="72">
                  <c:v>0.21635102</c:v>
                </c:pt>
                <c:pt idx="73">
                  <c:v>0.20515417999999999</c:v>
                </c:pt>
                <c:pt idx="74">
                  <c:v>0.20391931999999999</c:v>
                </c:pt>
                <c:pt idx="75">
                  <c:v>0.21216272</c:v>
                </c:pt>
                <c:pt idx="76">
                  <c:v>0.21079259</c:v>
                </c:pt>
                <c:pt idx="77">
                  <c:v>0.20943587999999999</c:v>
                </c:pt>
                <c:pt idx="78">
                  <c:v>0.20809285999999999</c:v>
                </c:pt>
                <c:pt idx="79">
                  <c:v>0.20676377000000001</c:v>
                </c:pt>
                <c:pt idx="80">
                  <c:v>0.19675786000000001</c:v>
                </c:pt>
                <c:pt idx="81">
                  <c:v>0.19560772000000001</c:v>
                </c:pt>
                <c:pt idx="82">
                  <c:v>0.20286282999999999</c:v>
                </c:pt>
                <c:pt idx="83">
                  <c:v>0.20159216999999999</c:v>
                </c:pt>
                <c:pt idx="84">
                  <c:v>0.20033680000000001</c:v>
                </c:pt>
                <c:pt idx="85">
                  <c:v>0.19909698000000001</c:v>
                </c:pt>
                <c:pt idx="86">
                  <c:v>0.19787299</c:v>
                </c:pt>
                <c:pt idx="87">
                  <c:v>0.18898908</c:v>
                </c:pt>
                <c:pt idx="88">
                  <c:v>0.18793528000000001</c:v>
                </c:pt>
                <c:pt idx="89">
                  <c:v>0.19429885999999999</c:v>
                </c:pt>
                <c:pt idx="90">
                  <c:v>0.19314105000000001</c:v>
                </c:pt>
                <c:pt idx="91">
                  <c:v>0.19200051000000001</c:v>
                </c:pt>
                <c:pt idx="92">
                  <c:v>0.19087752999999999</c:v>
                </c:pt>
                <c:pt idx="93">
                  <c:v>0.18977242999999999</c:v>
                </c:pt>
                <c:pt idx="94">
                  <c:v>0.18193152000000001</c:v>
                </c:pt>
                <c:pt idx="95">
                  <c:v>0.18098654</c:v>
                </c:pt>
                <c:pt idx="96">
                  <c:v>0.18656742000000001</c:v>
                </c:pt>
                <c:pt idx="97">
                  <c:v>0.18553687999999999</c:v>
                </c:pt>
                <c:pt idx="98">
                  <c:v>0.18452579</c:v>
                </c:pt>
                <c:pt idx="99">
                  <c:v>0.18353444999999999</c:v>
                </c:pt>
                <c:pt idx="100">
                  <c:v>0.18256318999999999</c:v>
                </c:pt>
                <c:pt idx="101">
                  <c:v>0.17567569</c:v>
                </c:pt>
                <c:pt idx="102">
                  <c:v>0.17485307</c:v>
                </c:pt>
                <c:pt idx="103">
                  <c:v>0.17977323000000001</c:v>
                </c:pt>
                <c:pt idx="104">
                  <c:v>0.17326406</c:v>
                </c:pt>
                <c:pt idx="105">
                  <c:v>0.17801980000000001</c:v>
                </c:pt>
                <c:pt idx="106">
                  <c:v>0.17717606999999999</c:v>
                </c:pt>
                <c:pt idx="107">
                  <c:v>0.17635477999999999</c:v>
                </c:pt>
                <c:pt idx="108">
                  <c:v>0.17031942</c:v>
                </c:pt>
                <c:pt idx="109">
                  <c:v>0.16963365999999999</c:v>
                </c:pt>
                <c:pt idx="110">
                  <c:v>0.17402904999999999</c:v>
                </c:pt>
                <c:pt idx="111">
                  <c:v>0.17330101000000001</c:v>
                </c:pt>
                <c:pt idx="112">
                  <c:v>0.17259714000000001</c:v>
                </c:pt>
                <c:pt idx="113">
                  <c:v>0.17191781</c:v>
                </c:pt>
                <c:pt idx="114">
                  <c:v>0.17126335000000001</c:v>
                </c:pt>
                <c:pt idx="115">
                  <c:v>0.16596601999999999</c:v>
                </c:pt>
                <c:pt idx="116">
                  <c:v>0.1654321</c:v>
                </c:pt>
                <c:pt idx="117">
                  <c:v>0.16945265000000001</c:v>
                </c:pt>
                <c:pt idx="118">
                  <c:v>0.16890110999999999</c:v>
                </c:pt>
                <c:pt idx="119">
                  <c:v>0.16837615</c:v>
                </c:pt>
                <c:pt idx="120">
                  <c:v>0.16787809000000001</c:v>
                </c:pt>
                <c:pt idx="121">
                  <c:v>0.16740726</c:v>
                </c:pt>
                <c:pt idx="122">
                  <c:v>0.16271999000000001</c:v>
                </c:pt>
                <c:pt idx="123">
                  <c:v>0.16235258999999999</c:v>
                </c:pt>
                <c:pt idx="124">
                  <c:v>0.16616135000000001</c:v>
                </c:pt>
                <c:pt idx="125">
                  <c:v>0.16580260999999999</c:v>
                </c:pt>
                <c:pt idx="126">
                  <c:v>0.16547265</c:v>
                </c:pt>
                <c:pt idx="127">
                  <c:v>0.16517175000000001</c:v>
                </c:pt>
                <c:pt idx="128">
                  <c:v>0.16490020999999999</c:v>
                </c:pt>
                <c:pt idx="129">
                  <c:v>0.16068072</c:v>
                </c:pt>
                <c:pt idx="130">
                  <c:v>0.16049319000000001</c:v>
                </c:pt>
                <c:pt idx="131">
                  <c:v>0.16426435</c:v>
                </c:pt>
                <c:pt idx="132">
                  <c:v>0.16411282999999999</c:v>
                </c:pt>
                <c:pt idx="133">
                  <c:v>0.16399192000000001</c:v>
                </c:pt>
                <c:pt idx="134">
                  <c:v>0.16390184999999999</c:v>
                </c:pt>
                <c:pt idx="135">
                  <c:v>0.16384281000000001</c:v>
                </c:pt>
                <c:pt idx="136">
                  <c:v>0.15993489</c:v>
                </c:pt>
                <c:pt idx="137">
                  <c:v>0.15993809</c:v>
                </c:pt>
                <c:pt idx="138">
                  <c:v>0.16385384</c:v>
                </c:pt>
                <c:pt idx="139">
                  <c:v>0.16392079000000001</c:v>
                </c:pt>
                <c:pt idx="140">
                  <c:v>0.16401963</c:v>
                </c:pt>
                <c:pt idx="141">
                  <c:v>0.16415046999999999</c:v>
                </c:pt>
                <c:pt idx="142">
                  <c:v>0.16431344000000001</c:v>
                </c:pt>
                <c:pt idx="143">
                  <c:v>0.16054836</c:v>
                </c:pt>
                <c:pt idx="144">
                  <c:v>0.16074954999999999</c:v>
                </c:pt>
                <c:pt idx="145">
                  <c:v>0.16499594000000001</c:v>
                </c:pt>
                <c:pt idx="146">
                  <c:v>0.16528819</c:v>
                </c:pt>
                <c:pt idx="147">
                  <c:v>0.16561286</c:v>
                </c:pt>
                <c:pt idx="148">
                  <c:v>0.16596997999999999</c:v>
                </c:pt>
                <c:pt idx="149">
                  <c:v>0.16635954</c:v>
                </c:pt>
                <c:pt idx="150">
                  <c:v>0.16255860999999999</c:v>
                </c:pt>
                <c:pt idx="151">
                  <c:v>0.16296046</c:v>
                </c:pt>
                <c:pt idx="152">
                  <c:v>0.16772252000000001</c:v>
                </c:pt>
                <c:pt idx="153">
                  <c:v>0.16824141000000001</c:v>
                </c:pt>
                <c:pt idx="154">
                  <c:v>0.16879243999999999</c:v>
                </c:pt>
                <c:pt idx="155">
                  <c:v>0.16937548999999999</c:v>
                </c:pt>
                <c:pt idx="156">
                  <c:v>0.16999042</c:v>
                </c:pt>
                <c:pt idx="157">
                  <c:v>0.16596865</c:v>
                </c:pt>
                <c:pt idx="158">
                  <c:v>0.16656850000000001</c:v>
                </c:pt>
                <c:pt idx="159">
                  <c:v>0.17202487999999999</c:v>
                </c:pt>
                <c:pt idx="160">
                  <c:v>0.17276563</c:v>
                </c:pt>
                <c:pt idx="161">
                  <c:v>0.17353729000000001</c:v>
                </c:pt>
                <c:pt idx="162">
                  <c:v>0.17433963999999999</c:v>
                </c:pt>
                <c:pt idx="163">
                  <c:v>0.17517240000000001</c:v>
                </c:pt>
                <c:pt idx="164">
                  <c:v>0.17074308999999999</c:v>
                </c:pt>
                <c:pt idx="165">
                  <c:v>0.17153265000000001</c:v>
                </c:pt>
                <c:pt idx="166">
                  <c:v>0.17785023</c:v>
                </c:pt>
                <c:pt idx="167">
                  <c:v>0.17880161999999999</c:v>
                </c:pt>
                <c:pt idx="168">
                  <c:v>0.17978183</c:v>
                </c:pt>
                <c:pt idx="169">
                  <c:v>0.18079045999999999</c:v>
                </c:pt>
                <c:pt idx="170">
                  <c:v>0.18182714999999999</c:v>
                </c:pt>
                <c:pt idx="171">
                  <c:v>0.17680702000000001</c:v>
                </c:pt>
                <c:pt idx="172">
                  <c:v>0.17777244</c:v>
                </c:pt>
                <c:pt idx="173">
                  <c:v>0.18510136999999999</c:v>
                </c:pt>
                <c:pt idx="174">
                  <c:v>0.18624603000000001</c:v>
                </c:pt>
                <c:pt idx="175">
                  <c:v>0.18741656000000001</c:v>
                </c:pt>
                <c:pt idx="176">
                  <c:v>0.18861246000000001</c:v>
                </c:pt>
                <c:pt idx="177">
                  <c:v>0.18983323999999999</c:v>
                </c:pt>
                <c:pt idx="178">
                  <c:v>0.18404792</c:v>
                </c:pt>
                <c:pt idx="179">
                  <c:v>0.18517027999999999</c:v>
                </c:pt>
                <c:pt idx="180">
                  <c:v>0.23732882</c:v>
                </c:pt>
                <c:pt idx="181">
                  <c:v>0.25860118999999998</c:v>
                </c:pt>
                <c:pt idx="182">
                  <c:v>0.28155887000000002</c:v>
                </c:pt>
                <c:pt idx="183">
                  <c:v>0.30620131</c:v>
                </c:pt>
                <c:pt idx="184">
                  <c:v>0.33086481000000001</c:v>
                </c:pt>
                <c:pt idx="185">
                  <c:v>0.31783835999999999</c:v>
                </c:pt>
                <c:pt idx="186">
                  <c:v>0.34257841</c:v>
                </c:pt>
                <c:pt idx="187">
                  <c:v>0.40331266999999998</c:v>
                </c:pt>
                <c:pt idx="188">
                  <c:v>0.42639136</c:v>
                </c:pt>
                <c:pt idx="189">
                  <c:v>0.45115121000000002</c:v>
                </c:pt>
                <c:pt idx="190">
                  <c:v>0.47592846999999999</c:v>
                </c:pt>
                <c:pt idx="191">
                  <c:v>0.50238563999999997</c:v>
                </c:pt>
                <c:pt idx="192">
                  <c:v>0.49135760000000001</c:v>
                </c:pt>
                <c:pt idx="193">
                  <c:v>0.51788285000000001</c:v>
                </c:pt>
                <c:pt idx="194">
                  <c:v>0.57852528999999997</c:v>
                </c:pt>
                <c:pt idx="195">
                  <c:v>0.60338011999999996</c:v>
                </c:pt>
                <c:pt idx="196">
                  <c:v>0.63157474999999996</c:v>
                </c:pt>
                <c:pt idx="197">
                  <c:v>0.65811920000000002</c:v>
                </c:pt>
                <c:pt idx="198">
                  <c:v>0.68301281999999996</c:v>
                </c:pt>
                <c:pt idx="199">
                  <c:v>0.67561318000000004</c:v>
                </c:pt>
                <c:pt idx="200">
                  <c:v>0.70221847000000004</c:v>
                </c:pt>
                <c:pt idx="201">
                  <c:v>0.76441329999999996</c:v>
                </c:pt>
                <c:pt idx="202">
                  <c:v>0.79101264999999998</c:v>
                </c:pt>
                <c:pt idx="203">
                  <c:v>0.81928414000000005</c:v>
                </c:pt>
                <c:pt idx="204">
                  <c:v>0.84423780999999998</c:v>
                </c:pt>
                <c:pt idx="205">
                  <c:v>0.87252545000000004</c:v>
                </c:pt>
                <c:pt idx="206">
                  <c:v>0.86369954999999998</c:v>
                </c:pt>
                <c:pt idx="207">
                  <c:v>0.89035684000000004</c:v>
                </c:pt>
                <c:pt idx="208">
                  <c:v>0.95410231000000001</c:v>
                </c:pt>
                <c:pt idx="209">
                  <c:v>0.98241464000000001</c:v>
                </c:pt>
                <c:pt idx="210">
                  <c:v>1.0090684700000001</c:v>
                </c:pt>
                <c:pt idx="211">
                  <c:v>1.03738942</c:v>
                </c:pt>
                <c:pt idx="212">
                  <c:v>1.0640506700000001</c:v>
                </c:pt>
                <c:pt idx="213">
                  <c:v>1.0554225399999999</c:v>
                </c:pt>
                <c:pt idx="214">
                  <c:v>1.08210472</c:v>
                </c:pt>
                <c:pt idx="215">
                  <c:v>1.1440488900000001</c:v>
                </c:pt>
                <c:pt idx="216">
                  <c:v>1.1723809599999999</c:v>
                </c:pt>
                <c:pt idx="217">
                  <c:v>1.1973873100000001</c:v>
                </c:pt>
                <c:pt idx="218">
                  <c:v>1.2257198199999999</c:v>
                </c:pt>
                <c:pt idx="219">
                  <c:v>1.2507254999999999</c:v>
                </c:pt>
                <c:pt idx="220">
                  <c:v>1.2422106900000001</c:v>
                </c:pt>
                <c:pt idx="221">
                  <c:v>1.26721518</c:v>
                </c:pt>
                <c:pt idx="222">
                  <c:v>1.32905976</c:v>
                </c:pt>
                <c:pt idx="223">
                  <c:v>1.35405771</c:v>
                </c:pt>
                <c:pt idx="224">
                  <c:v>1.34389263</c:v>
                </c:pt>
                <c:pt idx="225">
                  <c:v>1.40238039</c:v>
                </c:pt>
                <c:pt idx="226">
                  <c:v>1.4290303499999999</c:v>
                </c:pt>
                <c:pt idx="227">
                  <c:v>1.41886325</c:v>
                </c:pt>
                <c:pt idx="228">
                  <c:v>1.4404901299999999</c:v>
                </c:pt>
                <c:pt idx="229">
                  <c:v>1.50063495</c:v>
                </c:pt>
                <c:pt idx="230">
                  <c:v>1.5222742499999999</c:v>
                </c:pt>
                <c:pt idx="231">
                  <c:v>1.5455702099999999</c:v>
                </c:pt>
                <c:pt idx="232">
                  <c:v>1.5688593099999999</c:v>
                </c:pt>
                <c:pt idx="233">
                  <c:v>1.5904780300000001</c:v>
                </c:pt>
                <c:pt idx="234">
                  <c:v>1.57684428</c:v>
                </c:pt>
                <c:pt idx="235">
                  <c:v>1.5984287800000001</c:v>
                </c:pt>
                <c:pt idx="236">
                  <c:v>1.65362345</c:v>
                </c:pt>
                <c:pt idx="237">
                  <c:v>1.6735460200000001</c:v>
                </c:pt>
                <c:pt idx="238">
                  <c:v>1.6934594000000001</c:v>
                </c:pt>
                <c:pt idx="239">
                  <c:v>1.71170011</c:v>
                </c:pt>
                <c:pt idx="240">
                  <c:v>1.7315940299999999</c:v>
                </c:pt>
                <c:pt idx="241">
                  <c:v>1.7160255099999999</c:v>
                </c:pt>
                <c:pt idx="242">
                  <c:v>1.7325187099999999</c:v>
                </c:pt>
                <c:pt idx="243">
                  <c:v>1.78622364</c:v>
                </c:pt>
                <c:pt idx="244">
                  <c:v>1.80441148</c:v>
                </c:pt>
                <c:pt idx="245">
                  <c:v>1.8209246800000001</c:v>
                </c:pt>
                <c:pt idx="246">
                  <c:v>1.83742604</c:v>
                </c:pt>
                <c:pt idx="247">
                  <c:v>1.85225215</c:v>
                </c:pt>
                <c:pt idx="248">
                  <c:v>1.8312656599999999</c:v>
                </c:pt>
                <c:pt idx="249">
                  <c:v>1.8476856100000001</c:v>
                </c:pt>
                <c:pt idx="250">
                  <c:v>1.8983178199999999</c:v>
                </c:pt>
                <c:pt idx="251">
                  <c:v>1.91142937</c:v>
                </c:pt>
                <c:pt idx="252">
                  <c:v>1.9245273700000001</c:v>
                </c:pt>
                <c:pt idx="253">
                  <c:v>1.93761154</c:v>
                </c:pt>
                <c:pt idx="254">
                  <c:v>1.9506816199999999</c:v>
                </c:pt>
                <c:pt idx="255">
                  <c:v>1.9275037500000001</c:v>
                </c:pt>
                <c:pt idx="256">
                  <c:v>1.9388059200000001</c:v>
                </c:pt>
                <c:pt idx="257">
                  <c:v>1.9864785199999999</c:v>
                </c:pt>
                <c:pt idx="258">
                  <c:v>1.99782656</c:v>
                </c:pt>
                <c:pt idx="259">
                  <c:v>2.0091592199999999</c:v>
                </c:pt>
                <c:pt idx="260">
                  <c:v>2.01881317</c:v>
                </c:pt>
                <c:pt idx="261">
                  <c:v>2.0284512399999999</c:v>
                </c:pt>
                <c:pt idx="262">
                  <c:v>2.0013028099999999</c:v>
                </c:pt>
                <c:pt idx="263">
                  <c:v>2.0108308799999999</c:v>
                </c:pt>
                <c:pt idx="264">
                  <c:v>2.0572678099999999</c:v>
                </c:pt>
                <c:pt idx="265">
                  <c:v>2.0668399700000002</c:v>
                </c:pt>
                <c:pt idx="266">
                  <c:v>2.0747319200000001</c:v>
                </c:pt>
                <c:pt idx="267">
                  <c:v>2.0826065300000001</c:v>
                </c:pt>
                <c:pt idx="268">
                  <c:v>2.0532143999999999</c:v>
                </c:pt>
                <c:pt idx="269">
                  <c:v>2.0609736999999999</c:v>
                </c:pt>
                <c:pt idx="270">
                  <c:v>2.0687169999999999</c:v>
                </c:pt>
                <c:pt idx="271">
                  <c:v>2.1122635500000002</c:v>
                </c:pt>
                <c:pt idx="272">
                  <c:v>2.1183846499999999</c:v>
                </c:pt>
                <c:pt idx="273">
                  <c:v>2.1244869199999998</c:v>
                </c:pt>
                <c:pt idx="274">
                  <c:v>2.1322332099999999</c:v>
                </c:pt>
                <c:pt idx="275">
                  <c:v>2.0987988299999998</c:v>
                </c:pt>
                <c:pt idx="276">
                  <c:v>2.1047641100000001</c:v>
                </c:pt>
                <c:pt idx="277">
                  <c:v>2.10903441</c:v>
                </c:pt>
                <c:pt idx="278">
                  <c:v>2.15304377</c:v>
                </c:pt>
                <c:pt idx="279">
                  <c:v>2.1573645699999999</c:v>
                </c:pt>
                <c:pt idx="280">
                  <c:v>2.16332784</c:v>
                </c:pt>
                <c:pt idx="281">
                  <c:v>2.1676070900000002</c:v>
                </c:pt>
                <c:pt idx="282">
                  <c:v>2.1718651599999999</c:v>
                </c:pt>
                <c:pt idx="283">
                  <c:v>2.1376292700000001</c:v>
                </c:pt>
                <c:pt idx="284">
                  <c:v>2.1417701199999999</c:v>
                </c:pt>
                <c:pt idx="285">
                  <c:v>2.18284653</c:v>
                </c:pt>
                <c:pt idx="286">
                  <c:v>2.1870172000000001</c:v>
                </c:pt>
                <c:pt idx="287">
                  <c:v>2.1895022200000001</c:v>
                </c:pt>
                <c:pt idx="288">
                  <c:v>2.1919644300000001</c:v>
                </c:pt>
                <c:pt idx="289">
                  <c:v>2.1944035500000001</c:v>
                </c:pt>
                <c:pt idx="290">
                  <c:v>2.1561337599999999</c:v>
                </c:pt>
                <c:pt idx="291">
                  <c:v>2.1584559300000001</c:v>
                </c:pt>
                <c:pt idx="292">
                  <c:v>2.1999164699999998</c:v>
                </c:pt>
                <c:pt idx="293">
                  <c:v>2.2022604399999999</c:v>
                </c:pt>
                <c:pt idx="294">
                  <c:v>2.2045799399999999</c:v>
                </c:pt>
                <c:pt idx="295">
                  <c:v>2.2052115699999999</c:v>
                </c:pt>
                <c:pt idx="296">
                  <c:v>2.2041550600000002</c:v>
                </c:pt>
                <c:pt idx="297">
                  <c:v>2.1652263600000001</c:v>
                </c:pt>
                <c:pt idx="298">
                  <c:v>2.16404044</c:v>
                </c:pt>
                <c:pt idx="299">
                  <c:v>2.20415882</c:v>
                </c:pt>
                <c:pt idx="300">
                  <c:v>2.20299946</c:v>
                </c:pt>
                <c:pt idx="301">
                  <c:v>2.2018137200000001</c:v>
                </c:pt>
                <c:pt idx="302">
                  <c:v>2.20060134</c:v>
                </c:pt>
                <c:pt idx="303">
                  <c:v>2.1993620599999999</c:v>
                </c:pt>
                <c:pt idx="304">
                  <c:v>2.1564366800000001</c:v>
                </c:pt>
                <c:pt idx="305">
                  <c:v>2.1534084600000001</c:v>
                </c:pt>
                <c:pt idx="306">
                  <c:v>2.19215414</c:v>
                </c:pt>
                <c:pt idx="307">
                  <c:v>2.18747859</c:v>
                </c:pt>
                <c:pt idx="308">
                  <c:v>2.1827749399999998</c:v>
                </c:pt>
                <c:pt idx="309">
                  <c:v>2.17970606</c:v>
                </c:pt>
                <c:pt idx="310">
                  <c:v>2.17494554</c:v>
                </c:pt>
                <c:pt idx="311">
                  <c:v>2.1296864499999999</c:v>
                </c:pt>
                <c:pt idx="312">
                  <c:v>2.1248055300000002</c:v>
                </c:pt>
                <c:pt idx="313">
                  <c:v>2.1588275499999998</c:v>
                </c:pt>
                <c:pt idx="314">
                  <c:v>2.1522877399999998</c:v>
                </c:pt>
                <c:pt idx="315">
                  <c:v>2.1457184300000001</c:v>
                </c:pt>
                <c:pt idx="316">
                  <c:v>2.1374563499999999</c:v>
                </c:pt>
                <c:pt idx="317">
                  <c:v>2.1291644500000002</c:v>
                </c:pt>
                <c:pt idx="318">
                  <c:v>2.0815539900000002</c:v>
                </c:pt>
                <c:pt idx="319">
                  <c:v>2.06977988</c:v>
                </c:pt>
                <c:pt idx="320">
                  <c:v>2.1024454000000001</c:v>
                </c:pt>
                <c:pt idx="321">
                  <c:v>2.09403294</c:v>
                </c:pt>
                <c:pt idx="322">
                  <c:v>2.0806007499999999</c:v>
                </c:pt>
                <c:pt idx="323">
                  <c:v>2.0704642899999999</c:v>
                </c:pt>
                <c:pt idx="324">
                  <c:v>2.0602972799999999</c:v>
                </c:pt>
                <c:pt idx="325">
                  <c:v>2.0052809599999999</c:v>
                </c:pt>
                <c:pt idx="326">
                  <c:v>1.9933182700000001</c:v>
                </c:pt>
                <c:pt idx="327">
                  <c:v>2.0212968899999999</c:v>
                </c:pt>
                <c:pt idx="328">
                  <c:v>2.00768104</c:v>
                </c:pt>
                <c:pt idx="329">
                  <c:v>1.9940345100000001</c:v>
                </c:pt>
                <c:pt idx="330">
                  <c:v>1.97869421</c:v>
                </c:pt>
                <c:pt idx="331">
                  <c:v>1.96498639</c:v>
                </c:pt>
                <c:pt idx="332">
                  <c:v>1.9075531800000001</c:v>
                </c:pt>
                <c:pt idx="333">
                  <c:v>1.8920460100000001</c:v>
                </c:pt>
                <c:pt idx="334">
                  <c:v>1.9170273200000001</c:v>
                </c:pt>
                <c:pt idx="335">
                  <c:v>1.90153455</c:v>
                </c:pt>
                <c:pt idx="336">
                  <c:v>1.8843484500000001</c:v>
                </c:pt>
                <c:pt idx="337">
                  <c:v>1.86546915</c:v>
                </c:pt>
                <c:pt idx="338">
                  <c:v>1.84822303</c:v>
                </c:pt>
                <c:pt idx="339">
                  <c:v>1.78669945</c:v>
                </c:pt>
                <c:pt idx="340">
                  <c:v>1.7693288</c:v>
                </c:pt>
                <c:pt idx="341">
                  <c:v>1.79298051</c:v>
                </c:pt>
                <c:pt idx="342">
                  <c:v>1.77229021</c:v>
                </c:pt>
                <c:pt idx="343">
                  <c:v>1.75323406</c:v>
                </c:pt>
                <c:pt idx="344">
                  <c:v>1.7324860900000001</c:v>
                </c:pt>
                <c:pt idx="345">
                  <c:v>1.7133727700000001</c:v>
                </c:pt>
                <c:pt idx="346">
                  <c:v>1.64779176</c:v>
                </c:pt>
                <c:pt idx="347">
                  <c:v>1.6285661300000001</c:v>
                </c:pt>
                <c:pt idx="348">
                  <c:v>1.64921253</c:v>
                </c:pt>
                <c:pt idx="349">
                  <c:v>1.62832522</c:v>
                </c:pt>
                <c:pt idx="350">
                  <c:v>1.6090741099999999</c:v>
                </c:pt>
                <c:pt idx="351">
                  <c:v>1.58647023</c:v>
                </c:pt>
                <c:pt idx="352">
                  <c:v>1.56550327</c:v>
                </c:pt>
                <c:pt idx="353">
                  <c:v>1.49929135</c:v>
                </c:pt>
                <c:pt idx="354">
                  <c:v>1.47654664</c:v>
                </c:pt>
                <c:pt idx="355">
                  <c:v>1.4991229500000001</c:v>
                </c:pt>
                <c:pt idx="356">
                  <c:v>1.47639209</c:v>
                </c:pt>
                <c:pt idx="357">
                  <c:v>1.45363709</c:v>
                </c:pt>
                <c:pt idx="358">
                  <c:v>1.4308584</c:v>
                </c:pt>
                <c:pt idx="359">
                  <c:v>1.40971958</c:v>
                </c:pt>
                <c:pt idx="360">
                  <c:v>1.34298242</c:v>
                </c:pt>
                <c:pt idx="361">
                  <c:v>1.32176859</c:v>
                </c:pt>
                <c:pt idx="362">
                  <c:v>1.3428422900000001</c:v>
                </c:pt>
                <c:pt idx="363">
                  <c:v>1.32161536</c:v>
                </c:pt>
              </c:numCache>
            </c:numRef>
          </c:val>
          <c:smooth val="0"/>
          <c:extLst>
            <c:ext xmlns:c16="http://schemas.microsoft.com/office/drawing/2014/chart" uri="{C3380CC4-5D6E-409C-BE32-E72D297353CC}">
              <c16:uniqueId val="{00000000-279E-471C-ACF1-EDF2ADE152EA}"/>
            </c:ext>
          </c:extLst>
        </c:ser>
        <c:dLbls>
          <c:showLegendKey val="0"/>
          <c:showVal val="0"/>
          <c:showCatName val="0"/>
          <c:showSerName val="0"/>
          <c:showPercent val="0"/>
          <c:showBubbleSize val="0"/>
        </c:dLbls>
        <c:smooth val="0"/>
        <c:axId val="570472575"/>
        <c:axId val="1"/>
      </c:lineChart>
      <c:dateAx>
        <c:axId val="570472575"/>
        <c:scaling>
          <c:orientation val="minMax"/>
        </c:scaling>
        <c:delete val="0"/>
        <c:axPos val="b"/>
        <c:numFmt formatCode="m/d/yyyy" sourceLinked="0"/>
        <c:majorTickMark val="out"/>
        <c:minorTickMark val="none"/>
        <c:tickLblPos val="nextTo"/>
        <c:txPr>
          <a:bodyPr rot="-5400000" vert="horz"/>
          <a:lstStyle/>
          <a:p>
            <a:pPr>
              <a:defRPr/>
            </a:pPr>
            <a:endParaRPr lang="fr-FR"/>
          </a:p>
        </c:txPr>
        <c:crossAx val="1"/>
        <c:crosses val="autoZero"/>
        <c:auto val="1"/>
        <c:lblOffset val="100"/>
        <c:baseTimeUnit val="days"/>
      </c:dateAx>
      <c:valAx>
        <c:axId val="1"/>
        <c:scaling>
          <c:orientation val="minMax"/>
        </c:scaling>
        <c:delete val="0"/>
        <c:axPos val="l"/>
        <c:majorGridlines/>
        <c:numFmt formatCode="0.0" sourceLinked="0"/>
        <c:majorTickMark val="out"/>
        <c:minorTickMark val="none"/>
        <c:tickLblPos val="nextTo"/>
        <c:crossAx val="570472575"/>
        <c:crosses val="autoZero"/>
        <c:crossBetween val="between"/>
      </c:valAx>
    </c:plotArea>
    <c:plotVisOnly val="1"/>
    <c:dispBlanksAs val="gap"/>
    <c:showDLblsOverMax val="0"/>
  </c:chart>
  <c:printSettings>
    <c:headerFooter/>
    <c:pageMargins b="0.75000000000000322" l="0.70000000000000062" r="0.70000000000000062" t="0.7500000000000032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Profils!$F$1</c:f>
              <c:strCache>
                <c:ptCount val="1"/>
                <c:pt idx="0">
                  <c:v>P013</c:v>
                </c:pt>
              </c:strCache>
            </c:strRef>
          </c:tx>
          <c:spPr>
            <a:ln w="19050"/>
          </c:spPr>
          <c:marker>
            <c:symbol val="none"/>
          </c:marker>
          <c:cat>
            <c:numRef>
              <c:f>Profils!$B$2:$B$365</c:f>
              <c:numCache>
                <c:formatCode>m/d/yyyy</c:formatCode>
                <c:ptCount val="364"/>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pt idx="31">
                  <c:v>46144</c:v>
                </c:pt>
                <c:pt idx="32">
                  <c:v>46145</c:v>
                </c:pt>
                <c:pt idx="33">
                  <c:v>46146</c:v>
                </c:pt>
                <c:pt idx="34">
                  <c:v>46147</c:v>
                </c:pt>
                <c:pt idx="35">
                  <c:v>46148</c:v>
                </c:pt>
                <c:pt idx="36">
                  <c:v>46149</c:v>
                </c:pt>
                <c:pt idx="37">
                  <c:v>46150</c:v>
                </c:pt>
                <c:pt idx="38">
                  <c:v>46151</c:v>
                </c:pt>
                <c:pt idx="39">
                  <c:v>46152</c:v>
                </c:pt>
                <c:pt idx="40">
                  <c:v>46153</c:v>
                </c:pt>
                <c:pt idx="41">
                  <c:v>46154</c:v>
                </c:pt>
                <c:pt idx="42">
                  <c:v>46155</c:v>
                </c:pt>
                <c:pt idx="43">
                  <c:v>46156</c:v>
                </c:pt>
                <c:pt idx="44">
                  <c:v>46157</c:v>
                </c:pt>
                <c:pt idx="45">
                  <c:v>46158</c:v>
                </c:pt>
                <c:pt idx="46">
                  <c:v>46159</c:v>
                </c:pt>
                <c:pt idx="47">
                  <c:v>46160</c:v>
                </c:pt>
                <c:pt idx="48">
                  <c:v>46161</c:v>
                </c:pt>
                <c:pt idx="49">
                  <c:v>46162</c:v>
                </c:pt>
                <c:pt idx="50">
                  <c:v>46163</c:v>
                </c:pt>
                <c:pt idx="51">
                  <c:v>46164</c:v>
                </c:pt>
                <c:pt idx="52">
                  <c:v>46165</c:v>
                </c:pt>
                <c:pt idx="53">
                  <c:v>46166</c:v>
                </c:pt>
                <c:pt idx="54">
                  <c:v>46167</c:v>
                </c:pt>
                <c:pt idx="55">
                  <c:v>46168</c:v>
                </c:pt>
                <c:pt idx="56">
                  <c:v>46169</c:v>
                </c:pt>
                <c:pt idx="57">
                  <c:v>46170</c:v>
                </c:pt>
                <c:pt idx="58">
                  <c:v>46171</c:v>
                </c:pt>
                <c:pt idx="59">
                  <c:v>46172</c:v>
                </c:pt>
                <c:pt idx="60">
                  <c:v>46173</c:v>
                </c:pt>
                <c:pt idx="61">
                  <c:v>46174</c:v>
                </c:pt>
                <c:pt idx="62">
                  <c:v>46175</c:v>
                </c:pt>
                <c:pt idx="63">
                  <c:v>46176</c:v>
                </c:pt>
                <c:pt idx="64">
                  <c:v>46177</c:v>
                </c:pt>
                <c:pt idx="65">
                  <c:v>46178</c:v>
                </c:pt>
                <c:pt idx="66">
                  <c:v>46179</c:v>
                </c:pt>
                <c:pt idx="67">
                  <c:v>46180</c:v>
                </c:pt>
                <c:pt idx="68">
                  <c:v>46181</c:v>
                </c:pt>
                <c:pt idx="69">
                  <c:v>46182</c:v>
                </c:pt>
                <c:pt idx="70">
                  <c:v>46183</c:v>
                </c:pt>
                <c:pt idx="71">
                  <c:v>46184</c:v>
                </c:pt>
                <c:pt idx="72">
                  <c:v>46185</c:v>
                </c:pt>
                <c:pt idx="73">
                  <c:v>46186</c:v>
                </c:pt>
                <c:pt idx="74">
                  <c:v>46187</c:v>
                </c:pt>
                <c:pt idx="75">
                  <c:v>46188</c:v>
                </c:pt>
                <c:pt idx="76">
                  <c:v>46189</c:v>
                </c:pt>
                <c:pt idx="77">
                  <c:v>46190</c:v>
                </c:pt>
                <c:pt idx="78">
                  <c:v>46191</c:v>
                </c:pt>
                <c:pt idx="79">
                  <c:v>46192</c:v>
                </c:pt>
                <c:pt idx="80">
                  <c:v>46193</c:v>
                </c:pt>
                <c:pt idx="81">
                  <c:v>46194</c:v>
                </c:pt>
                <c:pt idx="82">
                  <c:v>46195</c:v>
                </c:pt>
                <c:pt idx="83">
                  <c:v>46196</c:v>
                </c:pt>
                <c:pt idx="84">
                  <c:v>46197</c:v>
                </c:pt>
                <c:pt idx="85">
                  <c:v>46198</c:v>
                </c:pt>
                <c:pt idx="86">
                  <c:v>46199</c:v>
                </c:pt>
                <c:pt idx="87">
                  <c:v>46200</c:v>
                </c:pt>
                <c:pt idx="88">
                  <c:v>46201</c:v>
                </c:pt>
                <c:pt idx="89">
                  <c:v>46202</c:v>
                </c:pt>
                <c:pt idx="90">
                  <c:v>46203</c:v>
                </c:pt>
                <c:pt idx="91">
                  <c:v>46204</c:v>
                </c:pt>
                <c:pt idx="92">
                  <c:v>46205</c:v>
                </c:pt>
                <c:pt idx="93">
                  <c:v>46206</c:v>
                </c:pt>
                <c:pt idx="94">
                  <c:v>46207</c:v>
                </c:pt>
                <c:pt idx="95">
                  <c:v>46208</c:v>
                </c:pt>
                <c:pt idx="96">
                  <c:v>46209</c:v>
                </c:pt>
                <c:pt idx="97">
                  <c:v>46210</c:v>
                </c:pt>
                <c:pt idx="98">
                  <c:v>46211</c:v>
                </c:pt>
                <c:pt idx="99">
                  <c:v>46212</c:v>
                </c:pt>
                <c:pt idx="100">
                  <c:v>46213</c:v>
                </c:pt>
                <c:pt idx="101">
                  <c:v>46214</c:v>
                </c:pt>
                <c:pt idx="102">
                  <c:v>46215</c:v>
                </c:pt>
                <c:pt idx="103">
                  <c:v>46216</c:v>
                </c:pt>
                <c:pt idx="104">
                  <c:v>46217</c:v>
                </c:pt>
                <c:pt idx="105">
                  <c:v>46218</c:v>
                </c:pt>
                <c:pt idx="106">
                  <c:v>46219</c:v>
                </c:pt>
                <c:pt idx="107">
                  <c:v>46220</c:v>
                </c:pt>
                <c:pt idx="108">
                  <c:v>46221</c:v>
                </c:pt>
                <c:pt idx="109">
                  <c:v>46222</c:v>
                </c:pt>
                <c:pt idx="110">
                  <c:v>46223</c:v>
                </c:pt>
                <c:pt idx="111">
                  <c:v>46224</c:v>
                </c:pt>
                <c:pt idx="112">
                  <c:v>46225</c:v>
                </c:pt>
                <c:pt idx="113">
                  <c:v>46226</c:v>
                </c:pt>
                <c:pt idx="114">
                  <c:v>46227</c:v>
                </c:pt>
                <c:pt idx="115">
                  <c:v>46228</c:v>
                </c:pt>
                <c:pt idx="116">
                  <c:v>46229</c:v>
                </c:pt>
                <c:pt idx="117">
                  <c:v>46230</c:v>
                </c:pt>
                <c:pt idx="118">
                  <c:v>46231</c:v>
                </c:pt>
                <c:pt idx="119">
                  <c:v>46232</c:v>
                </c:pt>
                <c:pt idx="120">
                  <c:v>46233</c:v>
                </c:pt>
                <c:pt idx="121">
                  <c:v>46234</c:v>
                </c:pt>
                <c:pt idx="122">
                  <c:v>46235</c:v>
                </c:pt>
                <c:pt idx="123">
                  <c:v>46236</c:v>
                </c:pt>
                <c:pt idx="124">
                  <c:v>46237</c:v>
                </c:pt>
                <c:pt idx="125">
                  <c:v>46238</c:v>
                </c:pt>
                <c:pt idx="126">
                  <c:v>46239</c:v>
                </c:pt>
                <c:pt idx="127">
                  <c:v>46240</c:v>
                </c:pt>
                <c:pt idx="128">
                  <c:v>46241</c:v>
                </c:pt>
                <c:pt idx="129">
                  <c:v>46242</c:v>
                </c:pt>
                <c:pt idx="130">
                  <c:v>46243</c:v>
                </c:pt>
                <c:pt idx="131">
                  <c:v>46244</c:v>
                </c:pt>
                <c:pt idx="132">
                  <c:v>46245</c:v>
                </c:pt>
                <c:pt idx="133">
                  <c:v>46246</c:v>
                </c:pt>
                <c:pt idx="134">
                  <c:v>46247</c:v>
                </c:pt>
                <c:pt idx="135">
                  <c:v>46248</c:v>
                </c:pt>
                <c:pt idx="136">
                  <c:v>46249</c:v>
                </c:pt>
                <c:pt idx="137">
                  <c:v>46250</c:v>
                </c:pt>
                <c:pt idx="138">
                  <c:v>46251</c:v>
                </c:pt>
                <c:pt idx="139">
                  <c:v>46252</c:v>
                </c:pt>
                <c:pt idx="140">
                  <c:v>46253</c:v>
                </c:pt>
                <c:pt idx="141">
                  <c:v>46254</c:v>
                </c:pt>
                <c:pt idx="142">
                  <c:v>46255</c:v>
                </c:pt>
                <c:pt idx="143">
                  <c:v>46256</c:v>
                </c:pt>
                <c:pt idx="144">
                  <c:v>46257</c:v>
                </c:pt>
                <c:pt idx="145">
                  <c:v>46258</c:v>
                </c:pt>
                <c:pt idx="146">
                  <c:v>46259</c:v>
                </c:pt>
                <c:pt idx="147">
                  <c:v>46260</c:v>
                </c:pt>
                <c:pt idx="148">
                  <c:v>46261</c:v>
                </c:pt>
                <c:pt idx="149">
                  <c:v>46262</c:v>
                </c:pt>
                <c:pt idx="150">
                  <c:v>46263</c:v>
                </c:pt>
                <c:pt idx="151">
                  <c:v>46264</c:v>
                </c:pt>
                <c:pt idx="152">
                  <c:v>46265</c:v>
                </c:pt>
                <c:pt idx="153">
                  <c:v>46266</c:v>
                </c:pt>
                <c:pt idx="154">
                  <c:v>46267</c:v>
                </c:pt>
                <c:pt idx="155">
                  <c:v>46268</c:v>
                </c:pt>
                <c:pt idx="156">
                  <c:v>46269</c:v>
                </c:pt>
                <c:pt idx="157">
                  <c:v>46270</c:v>
                </c:pt>
                <c:pt idx="158">
                  <c:v>46271</c:v>
                </c:pt>
                <c:pt idx="159">
                  <c:v>46272</c:v>
                </c:pt>
                <c:pt idx="160">
                  <c:v>46273</c:v>
                </c:pt>
                <c:pt idx="161">
                  <c:v>46274</c:v>
                </c:pt>
                <c:pt idx="162">
                  <c:v>46275</c:v>
                </c:pt>
                <c:pt idx="163">
                  <c:v>46276</c:v>
                </c:pt>
                <c:pt idx="164">
                  <c:v>46277</c:v>
                </c:pt>
                <c:pt idx="165">
                  <c:v>46278</c:v>
                </c:pt>
                <c:pt idx="166">
                  <c:v>46279</c:v>
                </c:pt>
                <c:pt idx="167">
                  <c:v>46280</c:v>
                </c:pt>
                <c:pt idx="168">
                  <c:v>46281</c:v>
                </c:pt>
                <c:pt idx="169">
                  <c:v>46282</c:v>
                </c:pt>
                <c:pt idx="170">
                  <c:v>46283</c:v>
                </c:pt>
                <c:pt idx="171">
                  <c:v>46284</c:v>
                </c:pt>
                <c:pt idx="172">
                  <c:v>46285</c:v>
                </c:pt>
                <c:pt idx="173">
                  <c:v>46286</c:v>
                </c:pt>
                <c:pt idx="174">
                  <c:v>46287</c:v>
                </c:pt>
                <c:pt idx="175">
                  <c:v>46288</c:v>
                </c:pt>
                <c:pt idx="176">
                  <c:v>46289</c:v>
                </c:pt>
                <c:pt idx="177">
                  <c:v>46290</c:v>
                </c:pt>
                <c:pt idx="178">
                  <c:v>46291</c:v>
                </c:pt>
                <c:pt idx="179">
                  <c:v>46292</c:v>
                </c:pt>
                <c:pt idx="180">
                  <c:v>46293</c:v>
                </c:pt>
                <c:pt idx="181">
                  <c:v>46294</c:v>
                </c:pt>
                <c:pt idx="182">
                  <c:v>46295</c:v>
                </c:pt>
                <c:pt idx="183">
                  <c:v>46296</c:v>
                </c:pt>
                <c:pt idx="184">
                  <c:v>46297</c:v>
                </c:pt>
                <c:pt idx="185">
                  <c:v>46298</c:v>
                </c:pt>
                <c:pt idx="186">
                  <c:v>46299</c:v>
                </c:pt>
                <c:pt idx="187">
                  <c:v>46300</c:v>
                </c:pt>
                <c:pt idx="188">
                  <c:v>46301</c:v>
                </c:pt>
                <c:pt idx="189">
                  <c:v>46302</c:v>
                </c:pt>
                <c:pt idx="190">
                  <c:v>46303</c:v>
                </c:pt>
                <c:pt idx="191">
                  <c:v>46304</c:v>
                </c:pt>
                <c:pt idx="192">
                  <c:v>46305</c:v>
                </c:pt>
                <c:pt idx="193">
                  <c:v>46306</c:v>
                </c:pt>
                <c:pt idx="194">
                  <c:v>46307</c:v>
                </c:pt>
                <c:pt idx="195">
                  <c:v>46308</c:v>
                </c:pt>
                <c:pt idx="196">
                  <c:v>46309</c:v>
                </c:pt>
                <c:pt idx="197">
                  <c:v>46310</c:v>
                </c:pt>
                <c:pt idx="198">
                  <c:v>46311</c:v>
                </c:pt>
                <c:pt idx="199">
                  <c:v>46312</c:v>
                </c:pt>
                <c:pt idx="200">
                  <c:v>46313</c:v>
                </c:pt>
                <c:pt idx="201">
                  <c:v>46314</c:v>
                </c:pt>
                <c:pt idx="202">
                  <c:v>46315</c:v>
                </c:pt>
                <c:pt idx="203">
                  <c:v>46316</c:v>
                </c:pt>
                <c:pt idx="204">
                  <c:v>46317</c:v>
                </c:pt>
                <c:pt idx="205">
                  <c:v>46318</c:v>
                </c:pt>
                <c:pt idx="206">
                  <c:v>46319</c:v>
                </c:pt>
                <c:pt idx="207">
                  <c:v>46320</c:v>
                </c:pt>
                <c:pt idx="208">
                  <c:v>46321</c:v>
                </c:pt>
                <c:pt idx="209">
                  <c:v>46322</c:v>
                </c:pt>
                <c:pt idx="210">
                  <c:v>46323</c:v>
                </c:pt>
                <c:pt idx="211">
                  <c:v>46324</c:v>
                </c:pt>
                <c:pt idx="212">
                  <c:v>46325</c:v>
                </c:pt>
                <c:pt idx="213">
                  <c:v>46326</c:v>
                </c:pt>
                <c:pt idx="214">
                  <c:v>46327</c:v>
                </c:pt>
                <c:pt idx="215">
                  <c:v>46328</c:v>
                </c:pt>
                <c:pt idx="216">
                  <c:v>46329</c:v>
                </c:pt>
                <c:pt idx="217">
                  <c:v>46330</c:v>
                </c:pt>
                <c:pt idx="218">
                  <c:v>46331</c:v>
                </c:pt>
                <c:pt idx="219">
                  <c:v>46332</c:v>
                </c:pt>
                <c:pt idx="220">
                  <c:v>46333</c:v>
                </c:pt>
                <c:pt idx="221">
                  <c:v>46334</c:v>
                </c:pt>
                <c:pt idx="222">
                  <c:v>46335</c:v>
                </c:pt>
                <c:pt idx="223">
                  <c:v>46336</c:v>
                </c:pt>
                <c:pt idx="224">
                  <c:v>46337</c:v>
                </c:pt>
                <c:pt idx="225">
                  <c:v>46338</c:v>
                </c:pt>
                <c:pt idx="226">
                  <c:v>46339</c:v>
                </c:pt>
                <c:pt idx="227">
                  <c:v>46340</c:v>
                </c:pt>
                <c:pt idx="228">
                  <c:v>46341</c:v>
                </c:pt>
                <c:pt idx="229">
                  <c:v>46342</c:v>
                </c:pt>
                <c:pt idx="230">
                  <c:v>46343</c:v>
                </c:pt>
                <c:pt idx="231">
                  <c:v>46344</c:v>
                </c:pt>
                <c:pt idx="232">
                  <c:v>46345</c:v>
                </c:pt>
                <c:pt idx="233">
                  <c:v>46346</c:v>
                </c:pt>
                <c:pt idx="234">
                  <c:v>46347</c:v>
                </c:pt>
                <c:pt idx="235">
                  <c:v>46348</c:v>
                </c:pt>
                <c:pt idx="236">
                  <c:v>46349</c:v>
                </c:pt>
                <c:pt idx="237">
                  <c:v>46350</c:v>
                </c:pt>
                <c:pt idx="238">
                  <c:v>46351</c:v>
                </c:pt>
                <c:pt idx="239">
                  <c:v>46352</c:v>
                </c:pt>
                <c:pt idx="240">
                  <c:v>46353</c:v>
                </c:pt>
                <c:pt idx="241">
                  <c:v>46354</c:v>
                </c:pt>
                <c:pt idx="242">
                  <c:v>46355</c:v>
                </c:pt>
                <c:pt idx="243">
                  <c:v>46356</c:v>
                </c:pt>
                <c:pt idx="244">
                  <c:v>46357</c:v>
                </c:pt>
                <c:pt idx="245">
                  <c:v>46358</c:v>
                </c:pt>
                <c:pt idx="246">
                  <c:v>46359</c:v>
                </c:pt>
                <c:pt idx="247">
                  <c:v>46360</c:v>
                </c:pt>
                <c:pt idx="248">
                  <c:v>46361</c:v>
                </c:pt>
                <c:pt idx="249">
                  <c:v>46362</c:v>
                </c:pt>
                <c:pt idx="250">
                  <c:v>46363</c:v>
                </c:pt>
                <c:pt idx="251">
                  <c:v>46364</c:v>
                </c:pt>
                <c:pt idx="252">
                  <c:v>46365</c:v>
                </c:pt>
                <c:pt idx="253">
                  <c:v>46366</c:v>
                </c:pt>
                <c:pt idx="254">
                  <c:v>46367</c:v>
                </c:pt>
                <c:pt idx="255">
                  <c:v>46368</c:v>
                </c:pt>
                <c:pt idx="256">
                  <c:v>46369</c:v>
                </c:pt>
                <c:pt idx="257">
                  <c:v>46370</c:v>
                </c:pt>
                <c:pt idx="258">
                  <c:v>46371</c:v>
                </c:pt>
                <c:pt idx="259">
                  <c:v>46372</c:v>
                </c:pt>
                <c:pt idx="260">
                  <c:v>46373</c:v>
                </c:pt>
                <c:pt idx="261">
                  <c:v>46374</c:v>
                </c:pt>
                <c:pt idx="262">
                  <c:v>46375</c:v>
                </c:pt>
                <c:pt idx="263">
                  <c:v>46376</c:v>
                </c:pt>
                <c:pt idx="264">
                  <c:v>46377</c:v>
                </c:pt>
                <c:pt idx="265">
                  <c:v>46378</c:v>
                </c:pt>
                <c:pt idx="266">
                  <c:v>46379</c:v>
                </c:pt>
                <c:pt idx="267">
                  <c:v>46380</c:v>
                </c:pt>
                <c:pt idx="268">
                  <c:v>46381</c:v>
                </c:pt>
                <c:pt idx="269">
                  <c:v>46382</c:v>
                </c:pt>
                <c:pt idx="270">
                  <c:v>46383</c:v>
                </c:pt>
                <c:pt idx="271">
                  <c:v>46384</c:v>
                </c:pt>
                <c:pt idx="272">
                  <c:v>46385</c:v>
                </c:pt>
                <c:pt idx="273">
                  <c:v>46386</c:v>
                </c:pt>
                <c:pt idx="274">
                  <c:v>46387</c:v>
                </c:pt>
                <c:pt idx="275">
                  <c:v>46388</c:v>
                </c:pt>
                <c:pt idx="276">
                  <c:v>46389</c:v>
                </c:pt>
                <c:pt idx="277">
                  <c:v>46390</c:v>
                </c:pt>
                <c:pt idx="278">
                  <c:v>46391</c:v>
                </c:pt>
                <c:pt idx="279">
                  <c:v>46392</c:v>
                </c:pt>
                <c:pt idx="280">
                  <c:v>46393</c:v>
                </c:pt>
                <c:pt idx="281">
                  <c:v>46394</c:v>
                </c:pt>
                <c:pt idx="282">
                  <c:v>46395</c:v>
                </c:pt>
                <c:pt idx="283">
                  <c:v>46396</c:v>
                </c:pt>
                <c:pt idx="284">
                  <c:v>46397</c:v>
                </c:pt>
                <c:pt idx="285">
                  <c:v>46398</c:v>
                </c:pt>
                <c:pt idx="286">
                  <c:v>46399</c:v>
                </c:pt>
                <c:pt idx="287">
                  <c:v>46400</c:v>
                </c:pt>
                <c:pt idx="288">
                  <c:v>46401</c:v>
                </c:pt>
                <c:pt idx="289">
                  <c:v>46402</c:v>
                </c:pt>
                <c:pt idx="290">
                  <c:v>46403</c:v>
                </c:pt>
                <c:pt idx="291">
                  <c:v>46404</c:v>
                </c:pt>
                <c:pt idx="292">
                  <c:v>46405</c:v>
                </c:pt>
                <c:pt idx="293">
                  <c:v>46406</c:v>
                </c:pt>
                <c:pt idx="294">
                  <c:v>46407</c:v>
                </c:pt>
                <c:pt idx="295">
                  <c:v>46408</c:v>
                </c:pt>
                <c:pt idx="296">
                  <c:v>46409</c:v>
                </c:pt>
                <c:pt idx="297">
                  <c:v>46410</c:v>
                </c:pt>
                <c:pt idx="298">
                  <c:v>46411</c:v>
                </c:pt>
                <c:pt idx="299">
                  <c:v>46412</c:v>
                </c:pt>
                <c:pt idx="300">
                  <c:v>46413</c:v>
                </c:pt>
                <c:pt idx="301">
                  <c:v>46414</c:v>
                </c:pt>
                <c:pt idx="302">
                  <c:v>46415</c:v>
                </c:pt>
                <c:pt idx="303">
                  <c:v>46416</c:v>
                </c:pt>
                <c:pt idx="304">
                  <c:v>46417</c:v>
                </c:pt>
                <c:pt idx="305">
                  <c:v>46418</c:v>
                </c:pt>
                <c:pt idx="306">
                  <c:v>46419</c:v>
                </c:pt>
                <c:pt idx="307">
                  <c:v>46420</c:v>
                </c:pt>
                <c:pt idx="308">
                  <c:v>46421</c:v>
                </c:pt>
                <c:pt idx="309">
                  <c:v>46422</c:v>
                </c:pt>
                <c:pt idx="310">
                  <c:v>46423</c:v>
                </c:pt>
                <c:pt idx="311">
                  <c:v>46424</c:v>
                </c:pt>
                <c:pt idx="312">
                  <c:v>46425</c:v>
                </c:pt>
                <c:pt idx="313">
                  <c:v>46426</c:v>
                </c:pt>
                <c:pt idx="314">
                  <c:v>46427</c:v>
                </c:pt>
                <c:pt idx="315">
                  <c:v>46428</c:v>
                </c:pt>
                <c:pt idx="316">
                  <c:v>46429</c:v>
                </c:pt>
                <c:pt idx="317">
                  <c:v>46430</c:v>
                </c:pt>
                <c:pt idx="318">
                  <c:v>46431</c:v>
                </c:pt>
                <c:pt idx="319">
                  <c:v>46432</c:v>
                </c:pt>
                <c:pt idx="320">
                  <c:v>46433</c:v>
                </c:pt>
                <c:pt idx="321">
                  <c:v>46434</c:v>
                </c:pt>
                <c:pt idx="322">
                  <c:v>46435</c:v>
                </c:pt>
                <c:pt idx="323">
                  <c:v>46436</c:v>
                </c:pt>
                <c:pt idx="324">
                  <c:v>46437</c:v>
                </c:pt>
                <c:pt idx="325">
                  <c:v>46438</c:v>
                </c:pt>
                <c:pt idx="326">
                  <c:v>46439</c:v>
                </c:pt>
                <c:pt idx="327">
                  <c:v>46440</c:v>
                </c:pt>
                <c:pt idx="328">
                  <c:v>46441</c:v>
                </c:pt>
                <c:pt idx="329">
                  <c:v>46442</c:v>
                </c:pt>
                <c:pt idx="330">
                  <c:v>46443</c:v>
                </c:pt>
                <c:pt idx="331">
                  <c:v>46444</c:v>
                </c:pt>
                <c:pt idx="332">
                  <c:v>46445</c:v>
                </c:pt>
                <c:pt idx="333">
                  <c:v>46446</c:v>
                </c:pt>
                <c:pt idx="334">
                  <c:v>46447</c:v>
                </c:pt>
                <c:pt idx="335">
                  <c:v>46448</c:v>
                </c:pt>
                <c:pt idx="336">
                  <c:v>46449</c:v>
                </c:pt>
                <c:pt idx="337">
                  <c:v>46450</c:v>
                </c:pt>
                <c:pt idx="338">
                  <c:v>46451</c:v>
                </c:pt>
                <c:pt idx="339">
                  <c:v>46452</c:v>
                </c:pt>
                <c:pt idx="340">
                  <c:v>46453</c:v>
                </c:pt>
                <c:pt idx="341">
                  <c:v>46454</c:v>
                </c:pt>
                <c:pt idx="342">
                  <c:v>46455</c:v>
                </c:pt>
                <c:pt idx="343">
                  <c:v>46456</c:v>
                </c:pt>
                <c:pt idx="344">
                  <c:v>46457</c:v>
                </c:pt>
                <c:pt idx="345">
                  <c:v>46458</c:v>
                </c:pt>
                <c:pt idx="346">
                  <c:v>46459</c:v>
                </c:pt>
                <c:pt idx="347">
                  <c:v>46460</c:v>
                </c:pt>
                <c:pt idx="348">
                  <c:v>46461</c:v>
                </c:pt>
                <c:pt idx="349">
                  <c:v>46462</c:v>
                </c:pt>
                <c:pt idx="350">
                  <c:v>46463</c:v>
                </c:pt>
                <c:pt idx="351">
                  <c:v>46464</c:v>
                </c:pt>
                <c:pt idx="352">
                  <c:v>46465</c:v>
                </c:pt>
                <c:pt idx="353">
                  <c:v>46466</c:v>
                </c:pt>
                <c:pt idx="354">
                  <c:v>46467</c:v>
                </c:pt>
                <c:pt idx="355">
                  <c:v>46468</c:v>
                </c:pt>
                <c:pt idx="356">
                  <c:v>46469</c:v>
                </c:pt>
                <c:pt idx="357">
                  <c:v>46470</c:v>
                </c:pt>
                <c:pt idx="358">
                  <c:v>46471</c:v>
                </c:pt>
                <c:pt idx="359">
                  <c:v>46472</c:v>
                </c:pt>
                <c:pt idx="360">
                  <c:v>46473</c:v>
                </c:pt>
                <c:pt idx="361">
                  <c:v>46474</c:v>
                </c:pt>
                <c:pt idx="362">
                  <c:v>46475</c:v>
                </c:pt>
                <c:pt idx="363">
                  <c:v>46476</c:v>
                </c:pt>
              </c:numCache>
            </c:numRef>
          </c:cat>
          <c:val>
            <c:numRef>
              <c:f>Profils!$F$2:$F$365</c:f>
              <c:numCache>
                <c:formatCode>General</c:formatCode>
                <c:ptCount val="364"/>
                <c:pt idx="0">
                  <c:v>1.1718244200000001</c:v>
                </c:pt>
                <c:pt idx="1">
                  <c:v>1.1735910000000001</c:v>
                </c:pt>
                <c:pt idx="2">
                  <c:v>1.17535759</c:v>
                </c:pt>
                <c:pt idx="3">
                  <c:v>0.43449115999999999</c:v>
                </c:pt>
                <c:pt idx="4">
                  <c:v>0.43354694999999999</c:v>
                </c:pt>
                <c:pt idx="5">
                  <c:v>0.43260274999999998</c:v>
                </c:pt>
                <c:pt idx="6">
                  <c:v>1.1824239299999999</c:v>
                </c:pt>
                <c:pt idx="7">
                  <c:v>1.18419052</c:v>
                </c:pt>
                <c:pt idx="8">
                  <c:v>1.1859571099999999</c:v>
                </c:pt>
                <c:pt idx="9">
                  <c:v>1.1877236900000001</c:v>
                </c:pt>
                <c:pt idx="10">
                  <c:v>0.42788171000000003</c:v>
                </c:pt>
                <c:pt idx="11">
                  <c:v>0.42693750000000003</c:v>
                </c:pt>
                <c:pt idx="12">
                  <c:v>1.1930234500000001</c:v>
                </c:pt>
                <c:pt idx="13">
                  <c:v>1.19479004</c:v>
                </c:pt>
                <c:pt idx="14">
                  <c:v>1.19655662</c:v>
                </c:pt>
                <c:pt idx="15">
                  <c:v>1.19752082</c:v>
                </c:pt>
                <c:pt idx="16">
                  <c:v>1.19848501</c:v>
                </c:pt>
                <c:pt idx="17">
                  <c:v>0.42918658999999998</c:v>
                </c:pt>
                <c:pt idx="18">
                  <c:v>0.4308805</c:v>
                </c:pt>
                <c:pt idx="19">
                  <c:v>1.2013776</c:v>
                </c:pt>
                <c:pt idx="20">
                  <c:v>1.2023417999999999</c:v>
                </c:pt>
                <c:pt idx="21">
                  <c:v>1.20330599</c:v>
                </c:pt>
                <c:pt idx="22">
                  <c:v>1.2042701899999999</c:v>
                </c:pt>
                <c:pt idx="23">
                  <c:v>1.20523438</c:v>
                </c:pt>
                <c:pt idx="24">
                  <c:v>0.44104391999999998</c:v>
                </c:pt>
                <c:pt idx="25">
                  <c:v>0.44273783</c:v>
                </c:pt>
                <c:pt idx="26">
                  <c:v>1.2081269699999999</c:v>
                </c:pt>
                <c:pt idx="27">
                  <c:v>1.20909117</c:v>
                </c:pt>
                <c:pt idx="28">
                  <c:v>1.2100553599999999</c:v>
                </c:pt>
                <c:pt idx="29">
                  <c:v>1.21101956</c:v>
                </c:pt>
                <c:pt idx="30">
                  <c:v>0.45120735000000001</c:v>
                </c:pt>
                <c:pt idx="31">
                  <c:v>0.45290126000000003</c:v>
                </c:pt>
                <c:pt idx="32">
                  <c:v>0.45459516</c:v>
                </c:pt>
                <c:pt idx="33">
                  <c:v>1.21487634</c:v>
                </c:pt>
                <c:pt idx="34">
                  <c:v>1.2158405400000001</c:v>
                </c:pt>
                <c:pt idx="35">
                  <c:v>1.21680473</c:v>
                </c:pt>
                <c:pt idx="36">
                  <c:v>1.2177689300000001</c:v>
                </c:pt>
                <c:pt idx="37">
                  <c:v>0.46306469</c:v>
                </c:pt>
                <c:pt idx="38">
                  <c:v>0.46475859000000003</c:v>
                </c:pt>
                <c:pt idx="39">
                  <c:v>0.46645249999999999</c:v>
                </c:pt>
                <c:pt idx="40">
                  <c:v>1.2216257100000001</c:v>
                </c:pt>
                <c:pt idx="41">
                  <c:v>1.2225899099999999</c:v>
                </c:pt>
                <c:pt idx="42">
                  <c:v>1.2235541000000001</c:v>
                </c:pt>
                <c:pt idx="43">
                  <c:v>0.47322810999999998</c:v>
                </c:pt>
                <c:pt idx="44">
                  <c:v>1.2254825</c:v>
                </c:pt>
                <c:pt idx="45">
                  <c:v>0.47509507000000001</c:v>
                </c:pt>
                <c:pt idx="46">
                  <c:v>0.47526812000000002</c:v>
                </c:pt>
                <c:pt idx="47">
                  <c:v>1.24048819</c:v>
                </c:pt>
                <c:pt idx="48">
                  <c:v>1.2454900799999999</c:v>
                </c:pt>
                <c:pt idx="49">
                  <c:v>1.2504919800000001</c:v>
                </c:pt>
                <c:pt idx="50">
                  <c:v>1.25549388</c:v>
                </c:pt>
                <c:pt idx="51">
                  <c:v>1.2604957699999999</c:v>
                </c:pt>
                <c:pt idx="52">
                  <c:v>0.47630641000000001</c:v>
                </c:pt>
                <c:pt idx="53">
                  <c:v>0.47647946000000002</c:v>
                </c:pt>
                <c:pt idx="54">
                  <c:v>0.47665250999999997</c:v>
                </c:pt>
                <c:pt idx="55">
                  <c:v>1.28050336</c:v>
                </c:pt>
                <c:pt idx="56">
                  <c:v>1.2855052600000001</c:v>
                </c:pt>
                <c:pt idx="57">
                  <c:v>1.29050715</c:v>
                </c:pt>
                <c:pt idx="58">
                  <c:v>1.2955090499999999</c:v>
                </c:pt>
                <c:pt idx="59">
                  <c:v>0.47751776000000001</c:v>
                </c:pt>
                <c:pt idx="60">
                  <c:v>0.47769081000000002</c:v>
                </c:pt>
                <c:pt idx="61">
                  <c:v>1.3055128499999999</c:v>
                </c:pt>
                <c:pt idx="62">
                  <c:v>1.3105147399999999</c:v>
                </c:pt>
                <c:pt idx="63">
                  <c:v>1.31551664</c:v>
                </c:pt>
                <c:pt idx="64">
                  <c:v>1.3205185399999999</c:v>
                </c:pt>
                <c:pt idx="65">
                  <c:v>1.3255204300000001</c:v>
                </c:pt>
                <c:pt idx="66">
                  <c:v>0.47855605000000001</c:v>
                </c:pt>
                <c:pt idx="67">
                  <c:v>0.47872910000000002</c:v>
                </c:pt>
                <c:pt idx="68">
                  <c:v>1.34052612</c:v>
                </c:pt>
                <c:pt idx="69">
                  <c:v>1.3455280199999999</c:v>
                </c:pt>
                <c:pt idx="70">
                  <c:v>1.3505299200000001</c:v>
                </c:pt>
                <c:pt idx="71">
                  <c:v>1.35553181</c:v>
                </c:pt>
                <c:pt idx="72">
                  <c:v>1.3605337099999999</c:v>
                </c:pt>
                <c:pt idx="73">
                  <c:v>0.47976740000000001</c:v>
                </c:pt>
                <c:pt idx="74">
                  <c:v>0.47994045000000002</c:v>
                </c:pt>
                <c:pt idx="75">
                  <c:v>1.3755394000000001</c:v>
                </c:pt>
                <c:pt idx="76">
                  <c:v>1.37642588</c:v>
                </c:pt>
                <c:pt idx="77">
                  <c:v>1.3773123599999999</c:v>
                </c:pt>
                <c:pt idx="78">
                  <c:v>1.3781988300000001</c:v>
                </c:pt>
                <c:pt idx="79">
                  <c:v>1.37908531</c:v>
                </c:pt>
                <c:pt idx="80">
                  <c:v>0.47966672999999999</c:v>
                </c:pt>
                <c:pt idx="81">
                  <c:v>0.47957738</c:v>
                </c:pt>
                <c:pt idx="82">
                  <c:v>1.38174475</c:v>
                </c:pt>
                <c:pt idx="83">
                  <c:v>1.3826312199999999</c:v>
                </c:pt>
                <c:pt idx="84">
                  <c:v>1.3835177000000001</c:v>
                </c:pt>
                <c:pt idx="85">
                  <c:v>1.38440418</c:v>
                </c:pt>
                <c:pt idx="86">
                  <c:v>1.3852906599999999</c:v>
                </c:pt>
                <c:pt idx="87">
                  <c:v>0.47904127000000002</c:v>
                </c:pt>
                <c:pt idx="88">
                  <c:v>0.47895191999999998</c:v>
                </c:pt>
                <c:pt idx="89">
                  <c:v>1.3879500899999999</c:v>
                </c:pt>
                <c:pt idx="90">
                  <c:v>1.38883657</c:v>
                </c:pt>
                <c:pt idx="91">
                  <c:v>1.38972304</c:v>
                </c:pt>
                <c:pt idx="92">
                  <c:v>1.3906095199999999</c:v>
                </c:pt>
                <c:pt idx="93">
                  <c:v>1.3914960000000001</c:v>
                </c:pt>
                <c:pt idx="94">
                  <c:v>0.4784158</c:v>
                </c:pt>
                <c:pt idx="95">
                  <c:v>0.47832645000000001</c:v>
                </c:pt>
                <c:pt idx="96">
                  <c:v>1.3941554300000001</c:v>
                </c:pt>
                <c:pt idx="97">
                  <c:v>1.39504191</c:v>
                </c:pt>
                <c:pt idx="98">
                  <c:v>1.3959283899999999</c:v>
                </c:pt>
                <c:pt idx="99">
                  <c:v>1.39681487</c:v>
                </c:pt>
                <c:pt idx="100">
                  <c:v>1.39770134</c:v>
                </c:pt>
                <c:pt idx="101">
                  <c:v>0.47779032999999999</c:v>
                </c:pt>
                <c:pt idx="102">
                  <c:v>0.47770098</c:v>
                </c:pt>
                <c:pt idx="103">
                  <c:v>1.40036078</c:v>
                </c:pt>
                <c:pt idx="104">
                  <c:v>0.47752228000000002</c:v>
                </c:pt>
                <c:pt idx="105">
                  <c:v>1.4021337300000001</c:v>
                </c:pt>
                <c:pt idx="106">
                  <c:v>1.4000794599999999</c:v>
                </c:pt>
                <c:pt idx="107">
                  <c:v>1.39802519</c:v>
                </c:pt>
                <c:pt idx="108">
                  <c:v>0.49327857000000003</c:v>
                </c:pt>
                <c:pt idx="109">
                  <c:v>0.49856045999999998</c:v>
                </c:pt>
                <c:pt idx="110">
                  <c:v>1.3918623800000001</c:v>
                </c:pt>
                <c:pt idx="111">
                  <c:v>1.3898081200000001</c:v>
                </c:pt>
                <c:pt idx="112">
                  <c:v>1.38775385</c:v>
                </c:pt>
                <c:pt idx="113">
                  <c:v>1.38569958</c:v>
                </c:pt>
                <c:pt idx="114">
                  <c:v>1.3836453099999999</c:v>
                </c:pt>
                <c:pt idx="115">
                  <c:v>0.53025175000000002</c:v>
                </c:pt>
                <c:pt idx="116">
                  <c:v>0.53553362999999998</c:v>
                </c:pt>
                <c:pt idx="117">
                  <c:v>1.3774824999999999</c:v>
                </c:pt>
                <c:pt idx="118">
                  <c:v>1.37542823</c:v>
                </c:pt>
                <c:pt idx="119">
                  <c:v>1.3733739599999999</c:v>
                </c:pt>
                <c:pt idx="120">
                  <c:v>1.37131969</c:v>
                </c:pt>
                <c:pt idx="121">
                  <c:v>1.3692654200000001</c:v>
                </c:pt>
                <c:pt idx="122">
                  <c:v>0.56194305</c:v>
                </c:pt>
                <c:pt idx="123">
                  <c:v>0.56722492999999996</c:v>
                </c:pt>
                <c:pt idx="124">
                  <c:v>1.36515688</c:v>
                </c:pt>
                <c:pt idx="125">
                  <c:v>1.3631026100000001</c:v>
                </c:pt>
                <c:pt idx="126">
                  <c:v>1.36104834</c:v>
                </c:pt>
                <c:pt idx="127">
                  <c:v>1.3589940700000001</c:v>
                </c:pt>
                <c:pt idx="128">
                  <c:v>1.3569398100000001</c:v>
                </c:pt>
                <c:pt idx="129">
                  <c:v>0.59891623000000005</c:v>
                </c:pt>
                <c:pt idx="130">
                  <c:v>0.60419811000000001</c:v>
                </c:pt>
                <c:pt idx="131">
                  <c:v>1.3507769999999999</c:v>
                </c:pt>
                <c:pt idx="132">
                  <c:v>1.34872273</c:v>
                </c:pt>
                <c:pt idx="133">
                  <c:v>1.3466684600000001</c:v>
                </c:pt>
                <c:pt idx="134">
                  <c:v>1.3446141899999999</c:v>
                </c:pt>
                <c:pt idx="135">
                  <c:v>1.34255992</c:v>
                </c:pt>
                <c:pt idx="136">
                  <c:v>0.63588940999999999</c:v>
                </c:pt>
                <c:pt idx="137">
                  <c:v>0.63668853999999997</c:v>
                </c:pt>
                <c:pt idx="138">
                  <c:v>1.3563293999999999</c:v>
                </c:pt>
                <c:pt idx="139">
                  <c:v>1.3642412799999999</c:v>
                </c:pt>
                <c:pt idx="140">
                  <c:v>1.3721531600000001</c:v>
                </c:pt>
                <c:pt idx="141">
                  <c:v>1.3800650299999999</c:v>
                </c:pt>
                <c:pt idx="142">
                  <c:v>1.3879769099999999</c:v>
                </c:pt>
                <c:pt idx="143">
                  <c:v>0.64148337</c:v>
                </c:pt>
                <c:pt idx="144">
                  <c:v>0.64228251000000003</c:v>
                </c:pt>
                <c:pt idx="145">
                  <c:v>1.4117125399999999</c:v>
                </c:pt>
                <c:pt idx="146">
                  <c:v>1.4196244200000001</c:v>
                </c:pt>
                <c:pt idx="147">
                  <c:v>1.4275362899999999</c:v>
                </c:pt>
                <c:pt idx="148">
                  <c:v>1.4354481699999999</c:v>
                </c:pt>
                <c:pt idx="149">
                  <c:v>1.4433600499999999</c:v>
                </c:pt>
                <c:pt idx="150">
                  <c:v>0.64707733999999995</c:v>
                </c:pt>
                <c:pt idx="151">
                  <c:v>0.64787647999999998</c:v>
                </c:pt>
                <c:pt idx="152">
                  <c:v>1.4670956799999999</c:v>
                </c:pt>
                <c:pt idx="153">
                  <c:v>1.4670956799999999</c:v>
                </c:pt>
                <c:pt idx="154">
                  <c:v>1.4750075499999999</c:v>
                </c:pt>
                <c:pt idx="155">
                  <c:v>1.4829194299999999</c:v>
                </c:pt>
                <c:pt idx="156">
                  <c:v>1.4908313</c:v>
                </c:pt>
                <c:pt idx="157">
                  <c:v>0.65187218000000002</c:v>
                </c:pt>
                <c:pt idx="158">
                  <c:v>0.65267131</c:v>
                </c:pt>
                <c:pt idx="159">
                  <c:v>1.51456693</c:v>
                </c:pt>
                <c:pt idx="160">
                  <c:v>1.52247881</c:v>
                </c:pt>
                <c:pt idx="161">
                  <c:v>1.5303906899999999</c:v>
                </c:pt>
                <c:pt idx="162">
                  <c:v>1.53830256</c:v>
                </c:pt>
                <c:pt idx="163">
                  <c:v>1.54621444</c:v>
                </c:pt>
                <c:pt idx="164">
                  <c:v>0.65746614000000003</c:v>
                </c:pt>
                <c:pt idx="165">
                  <c:v>0.65826527999999995</c:v>
                </c:pt>
                <c:pt idx="166">
                  <c:v>1.56995007</c:v>
                </c:pt>
                <c:pt idx="167">
                  <c:v>1.57786195</c:v>
                </c:pt>
                <c:pt idx="168">
                  <c:v>1.5759003899999999</c:v>
                </c:pt>
                <c:pt idx="169">
                  <c:v>1.57393882</c:v>
                </c:pt>
                <c:pt idx="170">
                  <c:v>1.5719772599999999</c:v>
                </c:pt>
                <c:pt idx="171">
                  <c:v>0.65393751</c:v>
                </c:pt>
                <c:pt idx="172">
                  <c:v>0.65245598999999999</c:v>
                </c:pt>
                <c:pt idx="173">
                  <c:v>1.5660925800000001</c:v>
                </c:pt>
                <c:pt idx="174">
                  <c:v>1.56413102</c:v>
                </c:pt>
                <c:pt idx="175">
                  <c:v>1.56216946</c:v>
                </c:pt>
                <c:pt idx="176">
                  <c:v>1.5602079</c:v>
                </c:pt>
                <c:pt idx="177">
                  <c:v>1.55824634</c:v>
                </c:pt>
                <c:pt idx="178">
                  <c:v>0.64356690999999999</c:v>
                </c:pt>
                <c:pt idx="179">
                  <c:v>0.64208540000000003</c:v>
                </c:pt>
                <c:pt idx="180">
                  <c:v>1.5523616499999999</c:v>
                </c:pt>
                <c:pt idx="181">
                  <c:v>1.5504000899999999</c:v>
                </c:pt>
                <c:pt idx="182">
                  <c:v>1.5484385300000001</c:v>
                </c:pt>
                <c:pt idx="183">
                  <c:v>1.5464769700000001</c:v>
                </c:pt>
                <c:pt idx="184">
                  <c:v>1.54451541</c:v>
                </c:pt>
                <c:pt idx="185">
                  <c:v>0.63319632000000003</c:v>
                </c:pt>
                <c:pt idx="186">
                  <c:v>0.63171480000000002</c:v>
                </c:pt>
                <c:pt idx="187">
                  <c:v>1.53863072</c:v>
                </c:pt>
                <c:pt idx="188">
                  <c:v>1.53666916</c:v>
                </c:pt>
                <c:pt idx="189">
                  <c:v>1.5347075999999999</c:v>
                </c:pt>
                <c:pt idx="190">
                  <c:v>1.5327460399999999</c:v>
                </c:pt>
                <c:pt idx="191">
                  <c:v>1.5307844799999999</c:v>
                </c:pt>
                <c:pt idx="192">
                  <c:v>0.62282572000000003</c:v>
                </c:pt>
                <c:pt idx="193">
                  <c:v>0.62134420999999995</c:v>
                </c:pt>
                <c:pt idx="194">
                  <c:v>1.5248997900000001</c:v>
                </c:pt>
                <c:pt idx="195">
                  <c:v>1.5229382300000001</c:v>
                </c:pt>
                <c:pt idx="196">
                  <c:v>1.52097667</c:v>
                </c:pt>
                <c:pt idx="197">
                  <c:v>1.51901511</c:v>
                </c:pt>
                <c:pt idx="198">
                  <c:v>1.5130154099999999</c:v>
                </c:pt>
                <c:pt idx="199">
                  <c:v>0.60761854999999998</c:v>
                </c:pt>
                <c:pt idx="200">
                  <c:v>0.60371874999999997</c:v>
                </c:pt>
                <c:pt idx="201">
                  <c:v>1.49501632</c:v>
                </c:pt>
                <c:pt idx="202">
                  <c:v>1.4890166300000001</c:v>
                </c:pt>
                <c:pt idx="203">
                  <c:v>1.48301693</c:v>
                </c:pt>
                <c:pt idx="204">
                  <c:v>1.47701723</c:v>
                </c:pt>
                <c:pt idx="205">
                  <c:v>1.4710175400000001</c:v>
                </c:pt>
                <c:pt idx="206">
                  <c:v>0.58031993999999998</c:v>
                </c:pt>
                <c:pt idx="207">
                  <c:v>0.57642013999999997</c:v>
                </c:pt>
                <c:pt idx="208">
                  <c:v>1.4530184399999999</c:v>
                </c:pt>
                <c:pt idx="209">
                  <c:v>1.44701875</c:v>
                </c:pt>
                <c:pt idx="210">
                  <c:v>1.44101905</c:v>
                </c:pt>
                <c:pt idx="211">
                  <c:v>1.4350193499999999</c:v>
                </c:pt>
                <c:pt idx="212">
                  <c:v>1.42901966</c:v>
                </c:pt>
                <c:pt idx="213">
                  <c:v>0.55302132999999998</c:v>
                </c:pt>
                <c:pt idx="214">
                  <c:v>0.55302132999999998</c:v>
                </c:pt>
                <c:pt idx="215">
                  <c:v>1.4170202599999999</c:v>
                </c:pt>
                <c:pt idx="216">
                  <c:v>1.41102057</c:v>
                </c:pt>
                <c:pt idx="217">
                  <c:v>1.40502087</c:v>
                </c:pt>
                <c:pt idx="218">
                  <c:v>1.3990211699999999</c:v>
                </c:pt>
                <c:pt idx="219">
                  <c:v>1.39302148</c:v>
                </c:pt>
                <c:pt idx="220">
                  <c:v>0.52962253000000004</c:v>
                </c:pt>
                <c:pt idx="221">
                  <c:v>0.52572273000000003</c:v>
                </c:pt>
                <c:pt idx="222">
                  <c:v>1.3750223800000001</c:v>
                </c:pt>
                <c:pt idx="223">
                  <c:v>1.36902269</c:v>
                </c:pt>
                <c:pt idx="224">
                  <c:v>0.51402331999999995</c:v>
                </c:pt>
                <c:pt idx="225">
                  <c:v>1.3570232900000001</c:v>
                </c:pt>
                <c:pt idx="226">
                  <c:v>1.3510236</c:v>
                </c:pt>
                <c:pt idx="227">
                  <c:v>0.50232392000000003</c:v>
                </c:pt>
                <c:pt idx="228">
                  <c:v>0.49842412000000003</c:v>
                </c:pt>
                <c:pt idx="229">
                  <c:v>1.32751917</c:v>
                </c:pt>
                <c:pt idx="230">
                  <c:v>1.3160141299999999</c:v>
                </c:pt>
                <c:pt idx="231">
                  <c:v>1.30450909</c:v>
                </c:pt>
                <c:pt idx="232">
                  <c:v>1.2930040599999999</c:v>
                </c:pt>
                <c:pt idx="233">
                  <c:v>1.28149902</c:v>
                </c:pt>
                <c:pt idx="234">
                  <c:v>0.46204484000000001</c:v>
                </c:pt>
                <c:pt idx="235">
                  <c:v>0.45598161999999998</c:v>
                </c:pt>
                <c:pt idx="236">
                  <c:v>1.24698391</c:v>
                </c:pt>
                <c:pt idx="237">
                  <c:v>1.2354788699999999</c:v>
                </c:pt>
                <c:pt idx="238">
                  <c:v>1.22397384</c:v>
                </c:pt>
                <c:pt idx="239">
                  <c:v>1.2124687999999999</c:v>
                </c:pt>
                <c:pt idx="240">
                  <c:v>1.20096376</c:v>
                </c:pt>
                <c:pt idx="241">
                  <c:v>0.41960234000000002</c:v>
                </c:pt>
                <c:pt idx="242">
                  <c:v>0.41353912999999998</c:v>
                </c:pt>
                <c:pt idx="243">
                  <c:v>1.16644865</c:v>
                </c:pt>
                <c:pt idx="244">
                  <c:v>1.1549436099999999</c:v>
                </c:pt>
                <c:pt idx="245">
                  <c:v>1.14343858</c:v>
                </c:pt>
                <c:pt idx="246">
                  <c:v>1.1319335399999999</c:v>
                </c:pt>
                <c:pt idx="247">
                  <c:v>1.1204285</c:v>
                </c:pt>
                <c:pt idx="248">
                  <c:v>0.37715984000000002</c:v>
                </c:pt>
                <c:pt idx="249">
                  <c:v>0.37109662999999998</c:v>
                </c:pt>
                <c:pt idx="250">
                  <c:v>1.08591339</c:v>
                </c:pt>
                <c:pt idx="251">
                  <c:v>1.0744083600000001</c:v>
                </c:pt>
                <c:pt idx="252">
                  <c:v>1.06290332</c:v>
                </c:pt>
                <c:pt idx="253">
                  <c:v>1.0513982799999999</c:v>
                </c:pt>
                <c:pt idx="254">
                  <c:v>1.03989325</c:v>
                </c:pt>
                <c:pt idx="255">
                  <c:v>0.33471735000000002</c:v>
                </c:pt>
                <c:pt idx="256">
                  <c:v>0.32865412999999999</c:v>
                </c:pt>
                <c:pt idx="257">
                  <c:v>1.0053781399999999</c:v>
                </c:pt>
                <c:pt idx="258">
                  <c:v>0.99387309999999995</c:v>
                </c:pt>
                <c:pt idx="259">
                  <c:v>0.98762720999999998</c:v>
                </c:pt>
                <c:pt idx="260">
                  <c:v>0.98138133000000005</c:v>
                </c:pt>
                <c:pt idx="261">
                  <c:v>0.97513543999999996</c:v>
                </c:pt>
                <c:pt idx="262">
                  <c:v>0.21155273999999999</c:v>
                </c:pt>
                <c:pt idx="263">
                  <c:v>0.21079389000000001</c:v>
                </c:pt>
                <c:pt idx="264">
                  <c:v>0.51667565000000004</c:v>
                </c:pt>
                <c:pt idx="265">
                  <c:v>0.52875152000000003</c:v>
                </c:pt>
                <c:pt idx="266">
                  <c:v>0.54082739000000002</c:v>
                </c:pt>
                <c:pt idx="267">
                  <c:v>0.55290326000000001</c:v>
                </c:pt>
                <c:pt idx="268">
                  <c:v>0.20699959000000001</c:v>
                </c:pt>
                <c:pt idx="269">
                  <c:v>0.20624073000000001</c:v>
                </c:pt>
                <c:pt idx="270">
                  <c:v>0.20548187000000001</c:v>
                </c:pt>
                <c:pt idx="271">
                  <c:v>0.60120673000000002</c:v>
                </c:pt>
                <c:pt idx="272">
                  <c:v>0.61328260000000001</c:v>
                </c:pt>
                <c:pt idx="273">
                  <c:v>0.62535847</c:v>
                </c:pt>
                <c:pt idx="274">
                  <c:v>0.63743433999999999</c:v>
                </c:pt>
                <c:pt idx="275">
                  <c:v>0.20244643000000001</c:v>
                </c:pt>
                <c:pt idx="276">
                  <c:v>0.20168757000000001</c:v>
                </c:pt>
                <c:pt idx="277">
                  <c:v>0.20092871000000001</c:v>
                </c:pt>
                <c:pt idx="278">
                  <c:v>0.87520125999999998</c:v>
                </c:pt>
                <c:pt idx="279">
                  <c:v>0.86895537</c:v>
                </c:pt>
                <c:pt idx="280">
                  <c:v>0.86270948999999997</c:v>
                </c:pt>
                <c:pt idx="281">
                  <c:v>0.85646359999999999</c:v>
                </c:pt>
                <c:pt idx="282">
                  <c:v>0.85021771000000002</c:v>
                </c:pt>
                <c:pt idx="283">
                  <c:v>0.35331786999999998</c:v>
                </c:pt>
                <c:pt idx="284">
                  <c:v>0.35485080000000002</c:v>
                </c:pt>
                <c:pt idx="285">
                  <c:v>0.83148005999999997</c:v>
                </c:pt>
                <c:pt idx="286">
                  <c:v>0.82523416999999999</c:v>
                </c:pt>
                <c:pt idx="287">
                  <c:v>0.81898828000000001</c:v>
                </c:pt>
                <c:pt idx="288">
                  <c:v>0.81274239999999998</c:v>
                </c:pt>
                <c:pt idx="289">
                  <c:v>0.80649651</c:v>
                </c:pt>
                <c:pt idx="290">
                  <c:v>0.36372695999999999</c:v>
                </c:pt>
                <c:pt idx="291">
                  <c:v>0.3649385</c:v>
                </c:pt>
                <c:pt idx="292">
                  <c:v>0.82888052999999995</c:v>
                </c:pt>
                <c:pt idx="293">
                  <c:v>0.83634187000000004</c:v>
                </c:pt>
                <c:pt idx="294">
                  <c:v>0.84380321000000003</c:v>
                </c:pt>
                <c:pt idx="295">
                  <c:v>0.85126455000000001</c:v>
                </c:pt>
                <c:pt idx="296">
                  <c:v>0.85872588999999999</c:v>
                </c:pt>
                <c:pt idx="297">
                  <c:v>0.37220773000000001</c:v>
                </c:pt>
                <c:pt idx="298">
                  <c:v>0.37341927000000003</c:v>
                </c:pt>
                <c:pt idx="299">
                  <c:v>0.88110991999999999</c:v>
                </c:pt>
                <c:pt idx="300">
                  <c:v>0.88857125999999997</c:v>
                </c:pt>
                <c:pt idx="301">
                  <c:v>0.89603259999999996</c:v>
                </c:pt>
                <c:pt idx="302">
                  <c:v>0.90349394000000005</c:v>
                </c:pt>
                <c:pt idx="303">
                  <c:v>0.91095528000000003</c:v>
                </c:pt>
                <c:pt idx="304">
                  <c:v>0.38068850999999998</c:v>
                </c:pt>
                <c:pt idx="305">
                  <c:v>0.38190004999999999</c:v>
                </c:pt>
                <c:pt idx="306">
                  <c:v>0.92587796</c:v>
                </c:pt>
                <c:pt idx="307">
                  <c:v>0.93333929999999998</c:v>
                </c:pt>
                <c:pt idx="308">
                  <c:v>0.94080063999999997</c:v>
                </c:pt>
                <c:pt idx="309">
                  <c:v>0.94826197999999995</c:v>
                </c:pt>
                <c:pt idx="310">
                  <c:v>0.95572332000000004</c:v>
                </c:pt>
                <c:pt idx="311">
                  <c:v>0.38795774999999999</c:v>
                </c:pt>
                <c:pt idx="312">
                  <c:v>0.38916929</c:v>
                </c:pt>
                <c:pt idx="313">
                  <c:v>0.97810733999999999</c:v>
                </c:pt>
                <c:pt idx="314">
                  <c:v>0.98556867999999997</c:v>
                </c:pt>
                <c:pt idx="315">
                  <c:v>0.99303001999999996</c:v>
                </c:pt>
                <c:pt idx="316">
                  <c:v>1.0004913600000001</c:v>
                </c:pt>
                <c:pt idx="317">
                  <c:v>1.0079526999999999</c:v>
                </c:pt>
                <c:pt idx="318">
                  <c:v>0.39643853000000001</c:v>
                </c:pt>
                <c:pt idx="319">
                  <c:v>0.39765007000000002</c:v>
                </c:pt>
                <c:pt idx="320">
                  <c:v>1.0303367299999999</c:v>
                </c:pt>
                <c:pt idx="321">
                  <c:v>1.0341108000000001</c:v>
                </c:pt>
                <c:pt idx="322">
                  <c:v>1.03788488</c:v>
                </c:pt>
                <c:pt idx="323">
                  <c:v>1.0416589599999999</c:v>
                </c:pt>
                <c:pt idx="324">
                  <c:v>1.0454330300000001</c:v>
                </c:pt>
                <c:pt idx="325">
                  <c:v>0.40778986</c:v>
                </c:pt>
                <c:pt idx="326">
                  <c:v>0.40957550999999998</c:v>
                </c:pt>
                <c:pt idx="327">
                  <c:v>1.05675527</c:v>
                </c:pt>
                <c:pt idx="328">
                  <c:v>1.06052934</c:v>
                </c:pt>
                <c:pt idx="329">
                  <c:v>1.0643034199999999</c:v>
                </c:pt>
                <c:pt idx="330">
                  <c:v>1.0680775</c:v>
                </c:pt>
                <c:pt idx="331">
                  <c:v>1.07185157</c:v>
                </c:pt>
                <c:pt idx="332">
                  <c:v>0.42028940999999997</c:v>
                </c:pt>
                <c:pt idx="333">
                  <c:v>0.42207506</c:v>
                </c:pt>
                <c:pt idx="334">
                  <c:v>1.09072196</c:v>
                </c:pt>
                <c:pt idx="335">
                  <c:v>1.0944960399999999</c:v>
                </c:pt>
                <c:pt idx="336">
                  <c:v>1.0982701100000001</c:v>
                </c:pt>
                <c:pt idx="337">
                  <c:v>1.10204419</c:v>
                </c:pt>
                <c:pt idx="338">
                  <c:v>1.1058182700000001</c:v>
                </c:pt>
                <c:pt idx="339">
                  <c:v>0.43636026</c:v>
                </c:pt>
                <c:pt idx="340">
                  <c:v>0.43814591000000003</c:v>
                </c:pt>
                <c:pt idx="341">
                  <c:v>1.1171405000000001</c:v>
                </c:pt>
                <c:pt idx="342">
                  <c:v>1.12091458</c:v>
                </c:pt>
                <c:pt idx="343">
                  <c:v>1.12468865</c:v>
                </c:pt>
                <c:pt idx="344">
                  <c:v>1.1284627300000001</c:v>
                </c:pt>
                <c:pt idx="345">
                  <c:v>1.13223681</c:v>
                </c:pt>
                <c:pt idx="346">
                  <c:v>0.44885981000000003</c:v>
                </c:pt>
                <c:pt idx="347">
                  <c:v>0.45064546</c:v>
                </c:pt>
                <c:pt idx="348">
                  <c:v>1.14355904</c:v>
                </c:pt>
                <c:pt idx="349">
                  <c:v>1.1453256199999999</c:v>
                </c:pt>
                <c:pt idx="350">
                  <c:v>1.1470922100000001</c:v>
                </c:pt>
                <c:pt idx="351">
                  <c:v>1.1488588</c:v>
                </c:pt>
                <c:pt idx="352">
                  <c:v>1.1506253799999999</c:v>
                </c:pt>
                <c:pt idx="353">
                  <c:v>0.44771007000000002</c:v>
                </c:pt>
                <c:pt idx="354">
                  <c:v>0.44676587000000001</c:v>
                </c:pt>
                <c:pt idx="355">
                  <c:v>1.1559251399999999</c:v>
                </c:pt>
                <c:pt idx="356">
                  <c:v>1.15769173</c:v>
                </c:pt>
                <c:pt idx="357">
                  <c:v>1.15945831</c:v>
                </c:pt>
                <c:pt idx="358">
                  <c:v>1.1612248999999999</c:v>
                </c:pt>
                <c:pt idx="359">
                  <c:v>1.16299149</c:v>
                </c:pt>
                <c:pt idx="360">
                  <c:v>0.44110062</c:v>
                </c:pt>
                <c:pt idx="361">
                  <c:v>0.44015641</c:v>
                </c:pt>
                <c:pt idx="362">
                  <c:v>1.1682912400000001</c:v>
                </c:pt>
                <c:pt idx="363">
                  <c:v>1.17005783</c:v>
                </c:pt>
              </c:numCache>
            </c:numRef>
          </c:val>
          <c:smooth val="0"/>
          <c:extLst>
            <c:ext xmlns:c16="http://schemas.microsoft.com/office/drawing/2014/chart" uri="{C3380CC4-5D6E-409C-BE32-E72D297353CC}">
              <c16:uniqueId val="{00000000-9780-4D73-9D12-9200435A825C}"/>
            </c:ext>
          </c:extLst>
        </c:ser>
        <c:dLbls>
          <c:showLegendKey val="0"/>
          <c:showVal val="0"/>
          <c:showCatName val="0"/>
          <c:showSerName val="0"/>
          <c:showPercent val="0"/>
          <c:showBubbleSize val="0"/>
        </c:dLbls>
        <c:smooth val="0"/>
        <c:axId val="570474175"/>
        <c:axId val="1"/>
      </c:lineChart>
      <c:dateAx>
        <c:axId val="570474175"/>
        <c:scaling>
          <c:orientation val="minMax"/>
        </c:scaling>
        <c:delete val="0"/>
        <c:axPos val="b"/>
        <c:numFmt formatCode="m/d/yyyy" sourceLinked="0"/>
        <c:majorTickMark val="out"/>
        <c:minorTickMark val="none"/>
        <c:tickLblPos val="nextTo"/>
        <c:txPr>
          <a:bodyPr rot="-5400000" vert="horz"/>
          <a:lstStyle/>
          <a:p>
            <a:pPr>
              <a:defRPr/>
            </a:pPr>
            <a:endParaRPr lang="fr-FR"/>
          </a:p>
        </c:txPr>
        <c:crossAx val="1"/>
        <c:crosses val="autoZero"/>
        <c:auto val="1"/>
        <c:lblOffset val="100"/>
        <c:baseTimeUnit val="days"/>
      </c:dateAx>
      <c:valAx>
        <c:axId val="1"/>
        <c:scaling>
          <c:orientation val="minMax"/>
        </c:scaling>
        <c:delete val="0"/>
        <c:axPos val="l"/>
        <c:majorGridlines/>
        <c:numFmt formatCode="0.0" sourceLinked="0"/>
        <c:majorTickMark val="out"/>
        <c:minorTickMark val="none"/>
        <c:tickLblPos val="nextTo"/>
        <c:crossAx val="570474175"/>
        <c:crosses val="autoZero"/>
        <c:crossBetween val="between"/>
        <c:majorUnit val="0.5"/>
        <c:minorUnit val="0.1"/>
      </c:valAx>
    </c:plotArea>
    <c:plotVisOnly val="1"/>
    <c:dispBlanksAs val="gap"/>
    <c:showDLblsOverMax val="0"/>
  </c:chart>
  <c:printSettings>
    <c:headerFooter/>
    <c:pageMargins b="0.75000000000000322" l="0.70000000000000062" r="0.70000000000000062" t="0.75000000000000322"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Profils!$G$1</c:f>
              <c:strCache>
                <c:ptCount val="1"/>
                <c:pt idx="0">
                  <c:v>P014</c:v>
                </c:pt>
              </c:strCache>
            </c:strRef>
          </c:tx>
          <c:spPr>
            <a:ln w="19050"/>
          </c:spPr>
          <c:marker>
            <c:symbol val="none"/>
          </c:marker>
          <c:cat>
            <c:numRef>
              <c:f>Profils!$B$2:$B$365</c:f>
              <c:numCache>
                <c:formatCode>m/d/yyyy</c:formatCode>
                <c:ptCount val="364"/>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pt idx="31">
                  <c:v>46144</c:v>
                </c:pt>
                <c:pt idx="32">
                  <c:v>46145</c:v>
                </c:pt>
                <c:pt idx="33">
                  <c:v>46146</c:v>
                </c:pt>
                <c:pt idx="34">
                  <c:v>46147</c:v>
                </c:pt>
                <c:pt idx="35">
                  <c:v>46148</c:v>
                </c:pt>
                <c:pt idx="36">
                  <c:v>46149</c:v>
                </c:pt>
                <c:pt idx="37">
                  <c:v>46150</c:v>
                </c:pt>
                <c:pt idx="38">
                  <c:v>46151</c:v>
                </c:pt>
                <c:pt idx="39">
                  <c:v>46152</c:v>
                </c:pt>
                <c:pt idx="40">
                  <c:v>46153</c:v>
                </c:pt>
                <c:pt idx="41">
                  <c:v>46154</c:v>
                </c:pt>
                <c:pt idx="42">
                  <c:v>46155</c:v>
                </c:pt>
                <c:pt idx="43">
                  <c:v>46156</c:v>
                </c:pt>
                <c:pt idx="44">
                  <c:v>46157</c:v>
                </c:pt>
                <c:pt idx="45">
                  <c:v>46158</c:v>
                </c:pt>
                <c:pt idx="46">
                  <c:v>46159</c:v>
                </c:pt>
                <c:pt idx="47">
                  <c:v>46160</c:v>
                </c:pt>
                <c:pt idx="48">
                  <c:v>46161</c:v>
                </c:pt>
                <c:pt idx="49">
                  <c:v>46162</c:v>
                </c:pt>
                <c:pt idx="50">
                  <c:v>46163</c:v>
                </c:pt>
                <c:pt idx="51">
                  <c:v>46164</c:v>
                </c:pt>
                <c:pt idx="52">
                  <c:v>46165</c:v>
                </c:pt>
                <c:pt idx="53">
                  <c:v>46166</c:v>
                </c:pt>
                <c:pt idx="54">
                  <c:v>46167</c:v>
                </c:pt>
                <c:pt idx="55">
                  <c:v>46168</c:v>
                </c:pt>
                <c:pt idx="56">
                  <c:v>46169</c:v>
                </c:pt>
                <c:pt idx="57">
                  <c:v>46170</c:v>
                </c:pt>
                <c:pt idx="58">
                  <c:v>46171</c:v>
                </c:pt>
                <c:pt idx="59">
                  <c:v>46172</c:v>
                </c:pt>
                <c:pt idx="60">
                  <c:v>46173</c:v>
                </c:pt>
                <c:pt idx="61">
                  <c:v>46174</c:v>
                </c:pt>
                <c:pt idx="62">
                  <c:v>46175</c:v>
                </c:pt>
                <c:pt idx="63">
                  <c:v>46176</c:v>
                </c:pt>
                <c:pt idx="64">
                  <c:v>46177</c:v>
                </c:pt>
                <c:pt idx="65">
                  <c:v>46178</c:v>
                </c:pt>
                <c:pt idx="66">
                  <c:v>46179</c:v>
                </c:pt>
                <c:pt idx="67">
                  <c:v>46180</c:v>
                </c:pt>
                <c:pt idx="68">
                  <c:v>46181</c:v>
                </c:pt>
                <c:pt idx="69">
                  <c:v>46182</c:v>
                </c:pt>
                <c:pt idx="70">
                  <c:v>46183</c:v>
                </c:pt>
                <c:pt idx="71">
                  <c:v>46184</c:v>
                </c:pt>
                <c:pt idx="72">
                  <c:v>46185</c:v>
                </c:pt>
                <c:pt idx="73">
                  <c:v>46186</c:v>
                </c:pt>
                <c:pt idx="74">
                  <c:v>46187</c:v>
                </c:pt>
                <c:pt idx="75">
                  <c:v>46188</c:v>
                </c:pt>
                <c:pt idx="76">
                  <c:v>46189</c:v>
                </c:pt>
                <c:pt idx="77">
                  <c:v>46190</c:v>
                </c:pt>
                <c:pt idx="78">
                  <c:v>46191</c:v>
                </c:pt>
                <c:pt idx="79">
                  <c:v>46192</c:v>
                </c:pt>
                <c:pt idx="80">
                  <c:v>46193</c:v>
                </c:pt>
                <c:pt idx="81">
                  <c:v>46194</c:v>
                </c:pt>
                <c:pt idx="82">
                  <c:v>46195</c:v>
                </c:pt>
                <c:pt idx="83">
                  <c:v>46196</c:v>
                </c:pt>
                <c:pt idx="84">
                  <c:v>46197</c:v>
                </c:pt>
                <c:pt idx="85">
                  <c:v>46198</c:v>
                </c:pt>
                <c:pt idx="86">
                  <c:v>46199</c:v>
                </c:pt>
                <c:pt idx="87">
                  <c:v>46200</c:v>
                </c:pt>
                <c:pt idx="88">
                  <c:v>46201</c:v>
                </c:pt>
                <c:pt idx="89">
                  <c:v>46202</c:v>
                </c:pt>
                <c:pt idx="90">
                  <c:v>46203</c:v>
                </c:pt>
                <c:pt idx="91">
                  <c:v>46204</c:v>
                </c:pt>
                <c:pt idx="92">
                  <c:v>46205</c:v>
                </c:pt>
                <c:pt idx="93">
                  <c:v>46206</c:v>
                </c:pt>
                <c:pt idx="94">
                  <c:v>46207</c:v>
                </c:pt>
                <c:pt idx="95">
                  <c:v>46208</c:v>
                </c:pt>
                <c:pt idx="96">
                  <c:v>46209</c:v>
                </c:pt>
                <c:pt idx="97">
                  <c:v>46210</c:v>
                </c:pt>
                <c:pt idx="98">
                  <c:v>46211</c:v>
                </c:pt>
                <c:pt idx="99">
                  <c:v>46212</c:v>
                </c:pt>
                <c:pt idx="100">
                  <c:v>46213</c:v>
                </c:pt>
                <c:pt idx="101">
                  <c:v>46214</c:v>
                </c:pt>
                <c:pt idx="102">
                  <c:v>46215</c:v>
                </c:pt>
                <c:pt idx="103">
                  <c:v>46216</c:v>
                </c:pt>
                <c:pt idx="104">
                  <c:v>46217</c:v>
                </c:pt>
                <c:pt idx="105">
                  <c:v>46218</c:v>
                </c:pt>
                <c:pt idx="106">
                  <c:v>46219</c:v>
                </c:pt>
                <c:pt idx="107">
                  <c:v>46220</c:v>
                </c:pt>
                <c:pt idx="108">
                  <c:v>46221</c:v>
                </c:pt>
                <c:pt idx="109">
                  <c:v>46222</c:v>
                </c:pt>
                <c:pt idx="110">
                  <c:v>46223</c:v>
                </c:pt>
                <c:pt idx="111">
                  <c:v>46224</c:v>
                </c:pt>
                <c:pt idx="112">
                  <c:v>46225</c:v>
                </c:pt>
                <c:pt idx="113">
                  <c:v>46226</c:v>
                </c:pt>
                <c:pt idx="114">
                  <c:v>46227</c:v>
                </c:pt>
                <c:pt idx="115">
                  <c:v>46228</c:v>
                </c:pt>
                <c:pt idx="116">
                  <c:v>46229</c:v>
                </c:pt>
                <c:pt idx="117">
                  <c:v>46230</c:v>
                </c:pt>
                <c:pt idx="118">
                  <c:v>46231</c:v>
                </c:pt>
                <c:pt idx="119">
                  <c:v>46232</c:v>
                </c:pt>
                <c:pt idx="120">
                  <c:v>46233</c:v>
                </c:pt>
                <c:pt idx="121">
                  <c:v>46234</c:v>
                </c:pt>
                <c:pt idx="122">
                  <c:v>46235</c:v>
                </c:pt>
                <c:pt idx="123">
                  <c:v>46236</c:v>
                </c:pt>
                <c:pt idx="124">
                  <c:v>46237</c:v>
                </c:pt>
                <c:pt idx="125">
                  <c:v>46238</c:v>
                </c:pt>
                <c:pt idx="126">
                  <c:v>46239</c:v>
                </c:pt>
                <c:pt idx="127">
                  <c:v>46240</c:v>
                </c:pt>
                <c:pt idx="128">
                  <c:v>46241</c:v>
                </c:pt>
                <c:pt idx="129">
                  <c:v>46242</c:v>
                </c:pt>
                <c:pt idx="130">
                  <c:v>46243</c:v>
                </c:pt>
                <c:pt idx="131">
                  <c:v>46244</c:v>
                </c:pt>
                <c:pt idx="132">
                  <c:v>46245</c:v>
                </c:pt>
                <c:pt idx="133">
                  <c:v>46246</c:v>
                </c:pt>
                <c:pt idx="134">
                  <c:v>46247</c:v>
                </c:pt>
                <c:pt idx="135">
                  <c:v>46248</c:v>
                </c:pt>
                <c:pt idx="136">
                  <c:v>46249</c:v>
                </c:pt>
                <c:pt idx="137">
                  <c:v>46250</c:v>
                </c:pt>
                <c:pt idx="138">
                  <c:v>46251</c:v>
                </c:pt>
                <c:pt idx="139">
                  <c:v>46252</c:v>
                </c:pt>
                <c:pt idx="140">
                  <c:v>46253</c:v>
                </c:pt>
                <c:pt idx="141">
                  <c:v>46254</c:v>
                </c:pt>
                <c:pt idx="142">
                  <c:v>46255</c:v>
                </c:pt>
                <c:pt idx="143">
                  <c:v>46256</c:v>
                </c:pt>
                <c:pt idx="144">
                  <c:v>46257</c:v>
                </c:pt>
                <c:pt idx="145">
                  <c:v>46258</c:v>
                </c:pt>
                <c:pt idx="146">
                  <c:v>46259</c:v>
                </c:pt>
                <c:pt idx="147">
                  <c:v>46260</c:v>
                </c:pt>
                <c:pt idx="148">
                  <c:v>46261</c:v>
                </c:pt>
                <c:pt idx="149">
                  <c:v>46262</c:v>
                </c:pt>
                <c:pt idx="150">
                  <c:v>46263</c:v>
                </c:pt>
                <c:pt idx="151">
                  <c:v>46264</c:v>
                </c:pt>
                <c:pt idx="152">
                  <c:v>46265</c:v>
                </c:pt>
                <c:pt idx="153">
                  <c:v>46266</c:v>
                </c:pt>
                <c:pt idx="154">
                  <c:v>46267</c:v>
                </c:pt>
                <c:pt idx="155">
                  <c:v>46268</c:v>
                </c:pt>
                <c:pt idx="156">
                  <c:v>46269</c:v>
                </c:pt>
                <c:pt idx="157">
                  <c:v>46270</c:v>
                </c:pt>
                <c:pt idx="158">
                  <c:v>46271</c:v>
                </c:pt>
                <c:pt idx="159">
                  <c:v>46272</c:v>
                </c:pt>
                <c:pt idx="160">
                  <c:v>46273</c:v>
                </c:pt>
                <c:pt idx="161">
                  <c:v>46274</c:v>
                </c:pt>
                <c:pt idx="162">
                  <c:v>46275</c:v>
                </c:pt>
                <c:pt idx="163">
                  <c:v>46276</c:v>
                </c:pt>
                <c:pt idx="164">
                  <c:v>46277</c:v>
                </c:pt>
                <c:pt idx="165">
                  <c:v>46278</c:v>
                </c:pt>
                <c:pt idx="166">
                  <c:v>46279</c:v>
                </c:pt>
                <c:pt idx="167">
                  <c:v>46280</c:v>
                </c:pt>
                <c:pt idx="168">
                  <c:v>46281</c:v>
                </c:pt>
                <c:pt idx="169">
                  <c:v>46282</c:v>
                </c:pt>
                <c:pt idx="170">
                  <c:v>46283</c:v>
                </c:pt>
                <c:pt idx="171">
                  <c:v>46284</c:v>
                </c:pt>
                <c:pt idx="172">
                  <c:v>46285</c:v>
                </c:pt>
                <c:pt idx="173">
                  <c:v>46286</c:v>
                </c:pt>
                <c:pt idx="174">
                  <c:v>46287</c:v>
                </c:pt>
                <c:pt idx="175">
                  <c:v>46288</c:v>
                </c:pt>
                <c:pt idx="176">
                  <c:v>46289</c:v>
                </c:pt>
                <c:pt idx="177">
                  <c:v>46290</c:v>
                </c:pt>
                <c:pt idx="178">
                  <c:v>46291</c:v>
                </c:pt>
                <c:pt idx="179">
                  <c:v>46292</c:v>
                </c:pt>
                <c:pt idx="180">
                  <c:v>46293</c:v>
                </c:pt>
                <c:pt idx="181">
                  <c:v>46294</c:v>
                </c:pt>
                <c:pt idx="182">
                  <c:v>46295</c:v>
                </c:pt>
                <c:pt idx="183">
                  <c:v>46296</c:v>
                </c:pt>
                <c:pt idx="184">
                  <c:v>46297</c:v>
                </c:pt>
                <c:pt idx="185">
                  <c:v>46298</c:v>
                </c:pt>
                <c:pt idx="186">
                  <c:v>46299</c:v>
                </c:pt>
                <c:pt idx="187">
                  <c:v>46300</c:v>
                </c:pt>
                <c:pt idx="188">
                  <c:v>46301</c:v>
                </c:pt>
                <c:pt idx="189">
                  <c:v>46302</c:v>
                </c:pt>
                <c:pt idx="190">
                  <c:v>46303</c:v>
                </c:pt>
                <c:pt idx="191">
                  <c:v>46304</c:v>
                </c:pt>
                <c:pt idx="192">
                  <c:v>46305</c:v>
                </c:pt>
                <c:pt idx="193">
                  <c:v>46306</c:v>
                </c:pt>
                <c:pt idx="194">
                  <c:v>46307</c:v>
                </c:pt>
                <c:pt idx="195">
                  <c:v>46308</c:v>
                </c:pt>
                <c:pt idx="196">
                  <c:v>46309</c:v>
                </c:pt>
                <c:pt idx="197">
                  <c:v>46310</c:v>
                </c:pt>
                <c:pt idx="198">
                  <c:v>46311</c:v>
                </c:pt>
                <c:pt idx="199">
                  <c:v>46312</c:v>
                </c:pt>
                <c:pt idx="200">
                  <c:v>46313</c:v>
                </c:pt>
                <c:pt idx="201">
                  <c:v>46314</c:v>
                </c:pt>
                <c:pt idx="202">
                  <c:v>46315</c:v>
                </c:pt>
                <c:pt idx="203">
                  <c:v>46316</c:v>
                </c:pt>
                <c:pt idx="204">
                  <c:v>46317</c:v>
                </c:pt>
                <c:pt idx="205">
                  <c:v>46318</c:v>
                </c:pt>
                <c:pt idx="206">
                  <c:v>46319</c:v>
                </c:pt>
                <c:pt idx="207">
                  <c:v>46320</c:v>
                </c:pt>
                <c:pt idx="208">
                  <c:v>46321</c:v>
                </c:pt>
                <c:pt idx="209">
                  <c:v>46322</c:v>
                </c:pt>
                <c:pt idx="210">
                  <c:v>46323</c:v>
                </c:pt>
                <c:pt idx="211">
                  <c:v>46324</c:v>
                </c:pt>
                <c:pt idx="212">
                  <c:v>46325</c:v>
                </c:pt>
                <c:pt idx="213">
                  <c:v>46326</c:v>
                </c:pt>
                <c:pt idx="214">
                  <c:v>46327</c:v>
                </c:pt>
                <c:pt idx="215">
                  <c:v>46328</c:v>
                </c:pt>
                <c:pt idx="216">
                  <c:v>46329</c:v>
                </c:pt>
                <c:pt idx="217">
                  <c:v>46330</c:v>
                </c:pt>
                <c:pt idx="218">
                  <c:v>46331</c:v>
                </c:pt>
                <c:pt idx="219">
                  <c:v>46332</c:v>
                </c:pt>
                <c:pt idx="220">
                  <c:v>46333</c:v>
                </c:pt>
                <c:pt idx="221">
                  <c:v>46334</c:v>
                </c:pt>
                <c:pt idx="222">
                  <c:v>46335</c:v>
                </c:pt>
                <c:pt idx="223">
                  <c:v>46336</c:v>
                </c:pt>
                <c:pt idx="224">
                  <c:v>46337</c:v>
                </c:pt>
                <c:pt idx="225">
                  <c:v>46338</c:v>
                </c:pt>
                <c:pt idx="226">
                  <c:v>46339</c:v>
                </c:pt>
                <c:pt idx="227">
                  <c:v>46340</c:v>
                </c:pt>
                <c:pt idx="228">
                  <c:v>46341</c:v>
                </c:pt>
                <c:pt idx="229">
                  <c:v>46342</c:v>
                </c:pt>
                <c:pt idx="230">
                  <c:v>46343</c:v>
                </c:pt>
                <c:pt idx="231">
                  <c:v>46344</c:v>
                </c:pt>
                <c:pt idx="232">
                  <c:v>46345</c:v>
                </c:pt>
                <c:pt idx="233">
                  <c:v>46346</c:v>
                </c:pt>
                <c:pt idx="234">
                  <c:v>46347</c:v>
                </c:pt>
                <c:pt idx="235">
                  <c:v>46348</c:v>
                </c:pt>
                <c:pt idx="236">
                  <c:v>46349</c:v>
                </c:pt>
                <c:pt idx="237">
                  <c:v>46350</c:v>
                </c:pt>
                <c:pt idx="238">
                  <c:v>46351</c:v>
                </c:pt>
                <c:pt idx="239">
                  <c:v>46352</c:v>
                </c:pt>
                <c:pt idx="240">
                  <c:v>46353</c:v>
                </c:pt>
                <c:pt idx="241">
                  <c:v>46354</c:v>
                </c:pt>
                <c:pt idx="242">
                  <c:v>46355</c:v>
                </c:pt>
                <c:pt idx="243">
                  <c:v>46356</c:v>
                </c:pt>
                <c:pt idx="244">
                  <c:v>46357</c:v>
                </c:pt>
                <c:pt idx="245">
                  <c:v>46358</c:v>
                </c:pt>
                <c:pt idx="246">
                  <c:v>46359</c:v>
                </c:pt>
                <c:pt idx="247">
                  <c:v>46360</c:v>
                </c:pt>
                <c:pt idx="248">
                  <c:v>46361</c:v>
                </c:pt>
                <c:pt idx="249">
                  <c:v>46362</c:v>
                </c:pt>
                <c:pt idx="250">
                  <c:v>46363</c:v>
                </c:pt>
                <c:pt idx="251">
                  <c:v>46364</c:v>
                </c:pt>
                <c:pt idx="252">
                  <c:v>46365</c:v>
                </c:pt>
                <c:pt idx="253">
                  <c:v>46366</c:v>
                </c:pt>
                <c:pt idx="254">
                  <c:v>46367</c:v>
                </c:pt>
                <c:pt idx="255">
                  <c:v>46368</c:v>
                </c:pt>
                <c:pt idx="256">
                  <c:v>46369</c:v>
                </c:pt>
                <c:pt idx="257">
                  <c:v>46370</c:v>
                </c:pt>
                <c:pt idx="258">
                  <c:v>46371</c:v>
                </c:pt>
                <c:pt idx="259">
                  <c:v>46372</c:v>
                </c:pt>
                <c:pt idx="260">
                  <c:v>46373</c:v>
                </c:pt>
                <c:pt idx="261">
                  <c:v>46374</c:v>
                </c:pt>
                <c:pt idx="262">
                  <c:v>46375</c:v>
                </c:pt>
                <c:pt idx="263">
                  <c:v>46376</c:v>
                </c:pt>
                <c:pt idx="264">
                  <c:v>46377</c:v>
                </c:pt>
                <c:pt idx="265">
                  <c:v>46378</c:v>
                </c:pt>
                <c:pt idx="266">
                  <c:v>46379</c:v>
                </c:pt>
                <c:pt idx="267">
                  <c:v>46380</c:v>
                </c:pt>
                <c:pt idx="268">
                  <c:v>46381</c:v>
                </c:pt>
                <c:pt idx="269">
                  <c:v>46382</c:v>
                </c:pt>
                <c:pt idx="270">
                  <c:v>46383</c:v>
                </c:pt>
                <c:pt idx="271">
                  <c:v>46384</c:v>
                </c:pt>
                <c:pt idx="272">
                  <c:v>46385</c:v>
                </c:pt>
                <c:pt idx="273">
                  <c:v>46386</c:v>
                </c:pt>
                <c:pt idx="274">
                  <c:v>46387</c:v>
                </c:pt>
                <c:pt idx="275">
                  <c:v>46388</c:v>
                </c:pt>
                <c:pt idx="276">
                  <c:v>46389</c:v>
                </c:pt>
                <c:pt idx="277">
                  <c:v>46390</c:v>
                </c:pt>
                <c:pt idx="278">
                  <c:v>46391</c:v>
                </c:pt>
                <c:pt idx="279">
                  <c:v>46392</c:v>
                </c:pt>
                <c:pt idx="280">
                  <c:v>46393</c:v>
                </c:pt>
                <c:pt idx="281">
                  <c:v>46394</c:v>
                </c:pt>
                <c:pt idx="282">
                  <c:v>46395</c:v>
                </c:pt>
                <c:pt idx="283">
                  <c:v>46396</c:v>
                </c:pt>
                <c:pt idx="284">
                  <c:v>46397</c:v>
                </c:pt>
                <c:pt idx="285">
                  <c:v>46398</c:v>
                </c:pt>
                <c:pt idx="286">
                  <c:v>46399</c:v>
                </c:pt>
                <c:pt idx="287">
                  <c:v>46400</c:v>
                </c:pt>
                <c:pt idx="288">
                  <c:v>46401</c:v>
                </c:pt>
                <c:pt idx="289">
                  <c:v>46402</c:v>
                </c:pt>
                <c:pt idx="290">
                  <c:v>46403</c:v>
                </c:pt>
                <c:pt idx="291">
                  <c:v>46404</c:v>
                </c:pt>
                <c:pt idx="292">
                  <c:v>46405</c:v>
                </c:pt>
                <c:pt idx="293">
                  <c:v>46406</c:v>
                </c:pt>
                <c:pt idx="294">
                  <c:v>46407</c:v>
                </c:pt>
                <c:pt idx="295">
                  <c:v>46408</c:v>
                </c:pt>
                <c:pt idx="296">
                  <c:v>46409</c:v>
                </c:pt>
                <c:pt idx="297">
                  <c:v>46410</c:v>
                </c:pt>
                <c:pt idx="298">
                  <c:v>46411</c:v>
                </c:pt>
                <c:pt idx="299">
                  <c:v>46412</c:v>
                </c:pt>
                <c:pt idx="300">
                  <c:v>46413</c:v>
                </c:pt>
                <c:pt idx="301">
                  <c:v>46414</c:v>
                </c:pt>
                <c:pt idx="302">
                  <c:v>46415</c:v>
                </c:pt>
                <c:pt idx="303">
                  <c:v>46416</c:v>
                </c:pt>
                <c:pt idx="304">
                  <c:v>46417</c:v>
                </c:pt>
                <c:pt idx="305">
                  <c:v>46418</c:v>
                </c:pt>
                <c:pt idx="306">
                  <c:v>46419</c:v>
                </c:pt>
                <c:pt idx="307">
                  <c:v>46420</c:v>
                </c:pt>
                <c:pt idx="308">
                  <c:v>46421</c:v>
                </c:pt>
                <c:pt idx="309">
                  <c:v>46422</c:v>
                </c:pt>
                <c:pt idx="310">
                  <c:v>46423</c:v>
                </c:pt>
                <c:pt idx="311">
                  <c:v>46424</c:v>
                </c:pt>
                <c:pt idx="312">
                  <c:v>46425</c:v>
                </c:pt>
                <c:pt idx="313">
                  <c:v>46426</c:v>
                </c:pt>
                <c:pt idx="314">
                  <c:v>46427</c:v>
                </c:pt>
                <c:pt idx="315">
                  <c:v>46428</c:v>
                </c:pt>
                <c:pt idx="316">
                  <c:v>46429</c:v>
                </c:pt>
                <c:pt idx="317">
                  <c:v>46430</c:v>
                </c:pt>
                <c:pt idx="318">
                  <c:v>46431</c:v>
                </c:pt>
                <c:pt idx="319">
                  <c:v>46432</c:v>
                </c:pt>
                <c:pt idx="320">
                  <c:v>46433</c:v>
                </c:pt>
                <c:pt idx="321">
                  <c:v>46434</c:v>
                </c:pt>
                <c:pt idx="322">
                  <c:v>46435</c:v>
                </c:pt>
                <c:pt idx="323">
                  <c:v>46436</c:v>
                </c:pt>
                <c:pt idx="324">
                  <c:v>46437</c:v>
                </c:pt>
                <c:pt idx="325">
                  <c:v>46438</c:v>
                </c:pt>
                <c:pt idx="326">
                  <c:v>46439</c:v>
                </c:pt>
                <c:pt idx="327">
                  <c:v>46440</c:v>
                </c:pt>
                <c:pt idx="328">
                  <c:v>46441</c:v>
                </c:pt>
                <c:pt idx="329">
                  <c:v>46442</c:v>
                </c:pt>
                <c:pt idx="330">
                  <c:v>46443</c:v>
                </c:pt>
                <c:pt idx="331">
                  <c:v>46444</c:v>
                </c:pt>
                <c:pt idx="332">
                  <c:v>46445</c:v>
                </c:pt>
                <c:pt idx="333">
                  <c:v>46446</c:v>
                </c:pt>
                <c:pt idx="334">
                  <c:v>46447</c:v>
                </c:pt>
                <c:pt idx="335">
                  <c:v>46448</c:v>
                </c:pt>
                <c:pt idx="336">
                  <c:v>46449</c:v>
                </c:pt>
                <c:pt idx="337">
                  <c:v>46450</c:v>
                </c:pt>
                <c:pt idx="338">
                  <c:v>46451</c:v>
                </c:pt>
                <c:pt idx="339">
                  <c:v>46452</c:v>
                </c:pt>
                <c:pt idx="340">
                  <c:v>46453</c:v>
                </c:pt>
                <c:pt idx="341">
                  <c:v>46454</c:v>
                </c:pt>
                <c:pt idx="342">
                  <c:v>46455</c:v>
                </c:pt>
                <c:pt idx="343">
                  <c:v>46456</c:v>
                </c:pt>
                <c:pt idx="344">
                  <c:v>46457</c:v>
                </c:pt>
                <c:pt idx="345">
                  <c:v>46458</c:v>
                </c:pt>
                <c:pt idx="346">
                  <c:v>46459</c:v>
                </c:pt>
                <c:pt idx="347">
                  <c:v>46460</c:v>
                </c:pt>
                <c:pt idx="348">
                  <c:v>46461</c:v>
                </c:pt>
                <c:pt idx="349">
                  <c:v>46462</c:v>
                </c:pt>
                <c:pt idx="350">
                  <c:v>46463</c:v>
                </c:pt>
                <c:pt idx="351">
                  <c:v>46464</c:v>
                </c:pt>
                <c:pt idx="352">
                  <c:v>46465</c:v>
                </c:pt>
                <c:pt idx="353">
                  <c:v>46466</c:v>
                </c:pt>
                <c:pt idx="354">
                  <c:v>46467</c:v>
                </c:pt>
                <c:pt idx="355">
                  <c:v>46468</c:v>
                </c:pt>
                <c:pt idx="356">
                  <c:v>46469</c:v>
                </c:pt>
                <c:pt idx="357">
                  <c:v>46470</c:v>
                </c:pt>
                <c:pt idx="358">
                  <c:v>46471</c:v>
                </c:pt>
                <c:pt idx="359">
                  <c:v>46472</c:v>
                </c:pt>
                <c:pt idx="360">
                  <c:v>46473</c:v>
                </c:pt>
                <c:pt idx="361">
                  <c:v>46474</c:v>
                </c:pt>
                <c:pt idx="362">
                  <c:v>46475</c:v>
                </c:pt>
                <c:pt idx="363">
                  <c:v>46476</c:v>
                </c:pt>
              </c:numCache>
            </c:numRef>
          </c:cat>
          <c:val>
            <c:numRef>
              <c:f>Profils!$G$2:$G$365</c:f>
              <c:numCache>
                <c:formatCode>General</c:formatCode>
                <c:ptCount val="364"/>
                <c:pt idx="0">
                  <c:v>1.2208140999999999</c:v>
                </c:pt>
                <c:pt idx="1">
                  <c:v>1.2189925500000001</c:v>
                </c:pt>
                <c:pt idx="2">
                  <c:v>1.217171</c:v>
                </c:pt>
                <c:pt idx="3">
                  <c:v>0.71533294999999997</c:v>
                </c:pt>
                <c:pt idx="4">
                  <c:v>0.71273598999999999</c:v>
                </c:pt>
                <c:pt idx="5">
                  <c:v>0.71013903</c:v>
                </c:pt>
                <c:pt idx="6">
                  <c:v>1.2098848200000001</c:v>
                </c:pt>
                <c:pt idx="7">
                  <c:v>1.20806327</c:v>
                </c:pt>
                <c:pt idx="8">
                  <c:v>1.20624172</c:v>
                </c:pt>
                <c:pt idx="9">
                  <c:v>1.2044201800000001</c:v>
                </c:pt>
                <c:pt idx="10">
                  <c:v>0.69715422999999999</c:v>
                </c:pt>
                <c:pt idx="11">
                  <c:v>0.69455727</c:v>
                </c:pt>
                <c:pt idx="12">
                  <c:v>1.19895554</c:v>
                </c:pt>
                <c:pt idx="13">
                  <c:v>1.19713399</c:v>
                </c:pt>
                <c:pt idx="14">
                  <c:v>1.1953124399999999</c:v>
                </c:pt>
                <c:pt idx="15">
                  <c:v>1.1936433</c:v>
                </c:pt>
                <c:pt idx="16">
                  <c:v>1.19197416</c:v>
                </c:pt>
                <c:pt idx="17">
                  <c:v>0.68430044999999995</c:v>
                </c:pt>
                <c:pt idx="18">
                  <c:v>0.68347846999999995</c:v>
                </c:pt>
                <c:pt idx="19">
                  <c:v>1.18696672</c:v>
                </c:pt>
                <c:pt idx="20">
                  <c:v>1.1852975800000001</c:v>
                </c:pt>
                <c:pt idx="21">
                  <c:v>1.18362843</c:v>
                </c:pt>
                <c:pt idx="22">
                  <c:v>1.18195929</c:v>
                </c:pt>
                <c:pt idx="23">
                  <c:v>1.1802901400000001</c:v>
                </c:pt>
                <c:pt idx="24">
                  <c:v>0.67854658000000001</c:v>
                </c:pt>
                <c:pt idx="25">
                  <c:v>0.67772460000000001</c:v>
                </c:pt>
                <c:pt idx="26">
                  <c:v>1.1752827100000001</c:v>
                </c:pt>
                <c:pt idx="27">
                  <c:v>1.1736135599999999</c:v>
                </c:pt>
                <c:pt idx="28">
                  <c:v>1.17194442</c:v>
                </c:pt>
                <c:pt idx="29">
                  <c:v>1.17027528</c:v>
                </c:pt>
                <c:pt idx="30">
                  <c:v>0.67361470000000001</c:v>
                </c:pt>
                <c:pt idx="31">
                  <c:v>0.67279272000000001</c:v>
                </c:pt>
                <c:pt idx="32">
                  <c:v>0.67197074000000001</c:v>
                </c:pt>
                <c:pt idx="33">
                  <c:v>1.1635987000000001</c:v>
                </c:pt>
                <c:pt idx="34">
                  <c:v>1.16192955</c:v>
                </c:pt>
                <c:pt idx="35">
                  <c:v>1.16026041</c:v>
                </c:pt>
                <c:pt idx="36">
                  <c:v>1.1585912599999999</c:v>
                </c:pt>
                <c:pt idx="37">
                  <c:v>0.66786084000000001</c:v>
                </c:pt>
                <c:pt idx="38">
                  <c:v>0.66703886000000001</c:v>
                </c:pt>
                <c:pt idx="39">
                  <c:v>0.66621688000000001</c:v>
                </c:pt>
                <c:pt idx="40">
                  <c:v>1.15191468</c:v>
                </c:pt>
                <c:pt idx="41">
                  <c:v>1.15024554</c:v>
                </c:pt>
                <c:pt idx="42">
                  <c:v>1.1485764000000001</c:v>
                </c:pt>
                <c:pt idx="43">
                  <c:v>0.66292894999999996</c:v>
                </c:pt>
                <c:pt idx="44">
                  <c:v>1.14523811</c:v>
                </c:pt>
                <c:pt idx="45">
                  <c:v>0.66163035999999997</c:v>
                </c:pt>
                <c:pt idx="46">
                  <c:v>0.66115376000000003</c:v>
                </c:pt>
                <c:pt idx="47">
                  <c:v>1.1432767699999999</c:v>
                </c:pt>
                <c:pt idx="48">
                  <c:v>1.14262299</c:v>
                </c:pt>
                <c:pt idx="49">
                  <c:v>1.1419692100000001</c:v>
                </c:pt>
                <c:pt idx="50">
                  <c:v>1.1413154299999999</c:v>
                </c:pt>
                <c:pt idx="51">
                  <c:v>1.14066165</c:v>
                </c:pt>
                <c:pt idx="52">
                  <c:v>0.65829411000000004</c:v>
                </c:pt>
                <c:pt idx="53">
                  <c:v>0.65781750000000005</c:v>
                </c:pt>
                <c:pt idx="54">
                  <c:v>0.65734088999999996</c:v>
                </c:pt>
                <c:pt idx="55">
                  <c:v>1.1380465399999999</c:v>
                </c:pt>
                <c:pt idx="56">
                  <c:v>1.13739276</c:v>
                </c:pt>
                <c:pt idx="57">
                  <c:v>1.1367389800000001</c:v>
                </c:pt>
                <c:pt idx="58">
                  <c:v>1.1360851999999999</c:v>
                </c:pt>
                <c:pt idx="59">
                  <c:v>0.65495786</c:v>
                </c:pt>
                <c:pt idx="60">
                  <c:v>0.65448125000000001</c:v>
                </c:pt>
                <c:pt idx="61">
                  <c:v>1.13477764</c:v>
                </c:pt>
                <c:pt idx="62">
                  <c:v>1.13412387</c:v>
                </c:pt>
                <c:pt idx="63">
                  <c:v>1.1334700900000001</c:v>
                </c:pt>
                <c:pt idx="64">
                  <c:v>1.1328163099999999</c:v>
                </c:pt>
                <c:pt idx="65">
                  <c:v>1.13216253</c:v>
                </c:pt>
                <c:pt idx="66">
                  <c:v>0.65209821000000001</c:v>
                </c:pt>
                <c:pt idx="67">
                  <c:v>0.65162160000000002</c:v>
                </c:pt>
                <c:pt idx="68">
                  <c:v>1.13020119</c:v>
                </c:pt>
                <c:pt idx="69">
                  <c:v>1.12954741</c:v>
                </c:pt>
                <c:pt idx="70">
                  <c:v>1.12889364</c:v>
                </c:pt>
                <c:pt idx="71">
                  <c:v>1.1282398600000001</c:v>
                </c:pt>
                <c:pt idx="72">
                  <c:v>1.1275860799999999</c:v>
                </c:pt>
                <c:pt idx="73">
                  <c:v>0.64876195000000003</c:v>
                </c:pt>
                <c:pt idx="74">
                  <c:v>0.64828534999999998</c:v>
                </c:pt>
                <c:pt idx="75">
                  <c:v>1.1256247399999999</c:v>
                </c:pt>
                <c:pt idx="76">
                  <c:v>1.1229348800000001</c:v>
                </c:pt>
                <c:pt idx="77">
                  <c:v>1.12024502</c:v>
                </c:pt>
                <c:pt idx="78">
                  <c:v>1.1175551500000001</c:v>
                </c:pt>
                <c:pt idx="79">
                  <c:v>1.11486529</c:v>
                </c:pt>
                <c:pt idx="80">
                  <c:v>0.63367253999999995</c:v>
                </c:pt>
                <c:pt idx="81">
                  <c:v>0.63084530000000005</c:v>
                </c:pt>
                <c:pt idx="82">
                  <c:v>1.1067957100000001</c:v>
                </c:pt>
                <c:pt idx="83">
                  <c:v>1.1041058399999999</c:v>
                </c:pt>
                <c:pt idx="84">
                  <c:v>1.1014159800000001</c:v>
                </c:pt>
                <c:pt idx="85">
                  <c:v>1.09872612</c:v>
                </c:pt>
                <c:pt idx="86">
                  <c:v>1.09603626</c:v>
                </c:pt>
                <c:pt idx="87">
                  <c:v>0.61388187000000005</c:v>
                </c:pt>
                <c:pt idx="88">
                  <c:v>0.61105463000000004</c:v>
                </c:pt>
                <c:pt idx="89">
                  <c:v>1.0879666699999999</c:v>
                </c:pt>
                <c:pt idx="90">
                  <c:v>1.0852768100000001</c:v>
                </c:pt>
                <c:pt idx="91">
                  <c:v>1.08258695</c:v>
                </c:pt>
                <c:pt idx="92">
                  <c:v>1.0798970800000001</c:v>
                </c:pt>
                <c:pt idx="93">
                  <c:v>1.07720722</c:v>
                </c:pt>
                <c:pt idx="94">
                  <c:v>0.59409120000000004</c:v>
                </c:pt>
                <c:pt idx="95">
                  <c:v>0.59126396000000003</c:v>
                </c:pt>
                <c:pt idx="96">
                  <c:v>1.0691376299999999</c:v>
                </c:pt>
                <c:pt idx="97">
                  <c:v>1.0664477699999999</c:v>
                </c:pt>
                <c:pt idx="98">
                  <c:v>1.0637579100000001</c:v>
                </c:pt>
                <c:pt idx="99">
                  <c:v>1.06106805</c:v>
                </c:pt>
                <c:pt idx="100">
                  <c:v>1.05837819</c:v>
                </c:pt>
                <c:pt idx="101">
                  <c:v>0.57430053000000003</c:v>
                </c:pt>
                <c:pt idx="102">
                  <c:v>0.57147329000000002</c:v>
                </c:pt>
                <c:pt idx="103">
                  <c:v>1.0503085999999999</c:v>
                </c:pt>
                <c:pt idx="104">
                  <c:v>0.56581881000000001</c:v>
                </c:pt>
                <c:pt idx="105">
                  <c:v>1.0449288699999999</c:v>
                </c:pt>
                <c:pt idx="106">
                  <c:v>1.03976337</c:v>
                </c:pt>
                <c:pt idx="107">
                  <c:v>1.0345978600000001</c:v>
                </c:pt>
                <c:pt idx="108">
                  <c:v>0.55607267999999999</c:v>
                </c:pt>
                <c:pt idx="109">
                  <c:v>0.55376639000000005</c:v>
                </c:pt>
                <c:pt idx="110">
                  <c:v>1.01910134</c:v>
                </c:pt>
                <c:pt idx="111">
                  <c:v>1.0139358300000001</c:v>
                </c:pt>
                <c:pt idx="112">
                  <c:v>1.0087703299999999</c:v>
                </c:pt>
                <c:pt idx="113">
                  <c:v>1.0036048200000001</c:v>
                </c:pt>
                <c:pt idx="114">
                  <c:v>0.99843930999999997</c:v>
                </c:pt>
                <c:pt idx="115">
                  <c:v>0.53992861999999997</c:v>
                </c:pt>
                <c:pt idx="116">
                  <c:v>0.53762231999999999</c:v>
                </c:pt>
                <c:pt idx="117">
                  <c:v>0.98294280000000001</c:v>
                </c:pt>
                <c:pt idx="118">
                  <c:v>0.97777729000000002</c:v>
                </c:pt>
                <c:pt idx="119">
                  <c:v>0.97261178000000004</c:v>
                </c:pt>
                <c:pt idx="120">
                  <c:v>0.96744627999999999</c:v>
                </c:pt>
                <c:pt idx="121">
                  <c:v>0.96228077000000001</c:v>
                </c:pt>
                <c:pt idx="122">
                  <c:v>0.52609083999999995</c:v>
                </c:pt>
                <c:pt idx="123">
                  <c:v>0.52378455000000002</c:v>
                </c:pt>
                <c:pt idx="124">
                  <c:v>0.95194975999999998</c:v>
                </c:pt>
                <c:pt idx="125">
                  <c:v>0.94678424999999999</c:v>
                </c:pt>
                <c:pt idx="126">
                  <c:v>0.94161874000000001</c:v>
                </c:pt>
                <c:pt idx="127">
                  <c:v>0.93645323999999996</c:v>
                </c:pt>
                <c:pt idx="128">
                  <c:v>0.93128772999999998</c:v>
                </c:pt>
                <c:pt idx="129">
                  <c:v>0.50994676999999999</c:v>
                </c:pt>
                <c:pt idx="130">
                  <c:v>0.50764047999999995</c:v>
                </c:pt>
                <c:pt idx="131">
                  <c:v>0.91579120999999997</c:v>
                </c:pt>
                <c:pt idx="132">
                  <c:v>0.91062569999999998</c:v>
                </c:pt>
                <c:pt idx="133">
                  <c:v>0.90546020000000005</c:v>
                </c:pt>
                <c:pt idx="134">
                  <c:v>0.90029468999999995</c:v>
                </c:pt>
                <c:pt idx="135">
                  <c:v>0.89512917999999997</c:v>
                </c:pt>
                <c:pt idx="136">
                  <c:v>0.49380270999999998</c:v>
                </c:pt>
                <c:pt idx="137">
                  <c:v>0.49888927999999999</c:v>
                </c:pt>
                <c:pt idx="138">
                  <c:v>0.90616015000000005</c:v>
                </c:pt>
                <c:pt idx="139">
                  <c:v>0.91425838999999998</c:v>
                </c:pt>
                <c:pt idx="140">
                  <c:v>0.92235661999999996</c:v>
                </c:pt>
                <c:pt idx="141">
                  <c:v>0.93045485999999999</c:v>
                </c:pt>
                <c:pt idx="142">
                  <c:v>0.93855310000000003</c:v>
                </c:pt>
                <c:pt idx="143">
                  <c:v>0.52940874000000004</c:v>
                </c:pt>
                <c:pt idx="144">
                  <c:v>0.53449530999999995</c:v>
                </c:pt>
                <c:pt idx="145">
                  <c:v>0.96284780999999997</c:v>
                </c:pt>
                <c:pt idx="146">
                  <c:v>0.97094603999999995</c:v>
                </c:pt>
                <c:pt idx="147">
                  <c:v>0.97904427999999999</c:v>
                </c:pt>
                <c:pt idx="148">
                  <c:v>0.98714252000000002</c:v>
                </c:pt>
                <c:pt idx="149">
                  <c:v>0.99524075000000001</c:v>
                </c:pt>
                <c:pt idx="150">
                  <c:v>0.56501475999999995</c:v>
                </c:pt>
                <c:pt idx="151">
                  <c:v>0.57010134000000001</c:v>
                </c:pt>
                <c:pt idx="152">
                  <c:v>1.0195354599999999</c:v>
                </c:pt>
                <c:pt idx="153">
                  <c:v>1.0195354599999999</c:v>
                </c:pt>
                <c:pt idx="154">
                  <c:v>1.0276337</c:v>
                </c:pt>
                <c:pt idx="155">
                  <c:v>1.03573194</c:v>
                </c:pt>
                <c:pt idx="156">
                  <c:v>1.0438301699999999</c:v>
                </c:pt>
                <c:pt idx="157">
                  <c:v>0.59553422</c:v>
                </c:pt>
                <c:pt idx="158">
                  <c:v>0.60062079000000002</c:v>
                </c:pt>
                <c:pt idx="159">
                  <c:v>1.0681248800000001</c:v>
                </c:pt>
                <c:pt idx="160">
                  <c:v>1.0762231200000001</c:v>
                </c:pt>
                <c:pt idx="161">
                  <c:v>1.0843213599999999</c:v>
                </c:pt>
                <c:pt idx="162">
                  <c:v>1.09241959</c:v>
                </c:pt>
                <c:pt idx="163">
                  <c:v>1.10051783</c:v>
                </c:pt>
                <c:pt idx="164">
                  <c:v>0.63114024999999996</c:v>
                </c:pt>
                <c:pt idx="165">
                  <c:v>0.63622681999999997</c:v>
                </c:pt>
                <c:pt idx="166">
                  <c:v>1.12481254</c:v>
                </c:pt>
                <c:pt idx="167">
                  <c:v>1.13291078</c:v>
                </c:pt>
                <c:pt idx="168">
                  <c:v>1.1343993299999999</c:v>
                </c:pt>
                <c:pt idx="169">
                  <c:v>1.1358878800000001</c:v>
                </c:pt>
                <c:pt idx="170">
                  <c:v>1.13737643</c:v>
                </c:pt>
                <c:pt idx="171">
                  <c:v>0.65037372000000004</c:v>
                </c:pt>
                <c:pt idx="172">
                  <c:v>0.65136715999999995</c:v>
                </c:pt>
                <c:pt idx="173">
                  <c:v>1.14184208</c:v>
                </c:pt>
                <c:pt idx="174">
                  <c:v>1.1433306299999999</c:v>
                </c:pt>
                <c:pt idx="175">
                  <c:v>1.14481918</c:v>
                </c:pt>
                <c:pt idx="176">
                  <c:v>1.14630773</c:v>
                </c:pt>
                <c:pt idx="177">
                  <c:v>1.1477962799999999</c:v>
                </c:pt>
                <c:pt idx="178">
                  <c:v>0.65732778000000003</c:v>
                </c:pt>
                <c:pt idx="179">
                  <c:v>0.65832120999999999</c:v>
                </c:pt>
                <c:pt idx="180">
                  <c:v>1.1522619300000001</c:v>
                </c:pt>
                <c:pt idx="181">
                  <c:v>1.15375048</c:v>
                </c:pt>
                <c:pt idx="182">
                  <c:v>1.1552390299999999</c:v>
                </c:pt>
                <c:pt idx="183">
                  <c:v>1.1567275800000001</c:v>
                </c:pt>
                <c:pt idx="184">
                  <c:v>1.15821613</c:v>
                </c:pt>
                <c:pt idx="185">
                  <c:v>0.66428182999999996</c:v>
                </c:pt>
                <c:pt idx="186">
                  <c:v>0.66527526999999997</c:v>
                </c:pt>
                <c:pt idx="187">
                  <c:v>1.1626817899999999</c:v>
                </c:pt>
                <c:pt idx="188">
                  <c:v>1.1641703400000001</c:v>
                </c:pt>
                <c:pt idx="189">
                  <c:v>1.16565889</c:v>
                </c:pt>
                <c:pt idx="190">
                  <c:v>1.1671474399999999</c:v>
                </c:pt>
                <c:pt idx="191">
                  <c:v>1.1686359900000001</c:v>
                </c:pt>
                <c:pt idx="192">
                  <c:v>0.67123588999999995</c:v>
                </c:pt>
                <c:pt idx="193">
                  <c:v>0.67222932999999996</c:v>
                </c:pt>
                <c:pt idx="194">
                  <c:v>1.1731016400000001</c:v>
                </c:pt>
                <c:pt idx="195">
                  <c:v>1.17459019</c:v>
                </c:pt>
                <c:pt idx="196">
                  <c:v>1.1760787399999999</c:v>
                </c:pt>
                <c:pt idx="197">
                  <c:v>1.17756729</c:v>
                </c:pt>
                <c:pt idx="198">
                  <c:v>1.1799167399999999</c:v>
                </c:pt>
                <c:pt idx="199">
                  <c:v>0.68053264999999996</c:v>
                </c:pt>
                <c:pt idx="200">
                  <c:v>0.68269743000000005</c:v>
                </c:pt>
                <c:pt idx="201">
                  <c:v>1.18696508</c:v>
                </c:pt>
                <c:pt idx="202">
                  <c:v>1.1893145300000001</c:v>
                </c:pt>
                <c:pt idx="203">
                  <c:v>1.19166398</c:v>
                </c:pt>
                <c:pt idx="204">
                  <c:v>1.19401343</c:v>
                </c:pt>
                <c:pt idx="205">
                  <c:v>1.1963628799999999</c:v>
                </c:pt>
                <c:pt idx="206">
                  <c:v>0.69568615</c:v>
                </c:pt>
                <c:pt idx="207">
                  <c:v>0.69785092999999998</c:v>
                </c:pt>
                <c:pt idx="208">
                  <c:v>1.20341122</c:v>
                </c:pt>
                <c:pt idx="209">
                  <c:v>1.2057606700000001</c:v>
                </c:pt>
                <c:pt idx="210">
                  <c:v>1.20811012</c:v>
                </c:pt>
                <c:pt idx="211">
                  <c:v>1.21045957</c:v>
                </c:pt>
                <c:pt idx="212">
                  <c:v>1.2128090199999999</c:v>
                </c:pt>
                <c:pt idx="213">
                  <c:v>0.71083963999999999</c:v>
                </c:pt>
                <c:pt idx="214">
                  <c:v>0.71083963999999999</c:v>
                </c:pt>
                <c:pt idx="215">
                  <c:v>1.2175079099999999</c:v>
                </c:pt>
                <c:pt idx="216">
                  <c:v>1.21985736</c:v>
                </c:pt>
                <c:pt idx="217">
                  <c:v>1.2222068100000001</c:v>
                </c:pt>
                <c:pt idx="218">
                  <c:v>1.22455626</c:v>
                </c:pt>
                <c:pt idx="219">
                  <c:v>1.22690571</c:v>
                </c:pt>
                <c:pt idx="220">
                  <c:v>0.72382835999999995</c:v>
                </c:pt>
                <c:pt idx="221">
                  <c:v>0.72599314000000004</c:v>
                </c:pt>
                <c:pt idx="222">
                  <c:v>1.2339540499999999</c:v>
                </c:pt>
                <c:pt idx="223">
                  <c:v>1.2363035</c:v>
                </c:pt>
                <c:pt idx="224">
                  <c:v>0.73248749999999996</c:v>
                </c:pt>
                <c:pt idx="225">
                  <c:v>1.2410023999999999</c:v>
                </c:pt>
                <c:pt idx="226">
                  <c:v>1.24335185</c:v>
                </c:pt>
                <c:pt idx="227">
                  <c:v>0.73898185999999999</c:v>
                </c:pt>
                <c:pt idx="228">
                  <c:v>0.74114663999999997</c:v>
                </c:pt>
                <c:pt idx="229">
                  <c:v>1.2447657400000001</c:v>
                </c:pt>
                <c:pt idx="230">
                  <c:v>1.2414807299999999</c:v>
                </c:pt>
                <c:pt idx="231">
                  <c:v>1.23819572</c:v>
                </c:pt>
                <c:pt idx="232">
                  <c:v>1.2349107100000001</c:v>
                </c:pt>
                <c:pt idx="233">
                  <c:v>1.2316256999999999</c:v>
                </c:pt>
                <c:pt idx="234">
                  <c:v>0.72785538000000005</c:v>
                </c:pt>
                <c:pt idx="235">
                  <c:v>0.72564017999999997</c:v>
                </c:pt>
                <c:pt idx="236">
                  <c:v>1.2217706800000001</c:v>
                </c:pt>
                <c:pt idx="237">
                  <c:v>1.21848567</c:v>
                </c:pt>
                <c:pt idx="238">
                  <c:v>1.21520066</c:v>
                </c:pt>
                <c:pt idx="239">
                  <c:v>1.2119156499999999</c:v>
                </c:pt>
                <c:pt idx="240">
                  <c:v>1.20863064</c:v>
                </c:pt>
                <c:pt idx="241">
                  <c:v>0.71234892000000005</c:v>
                </c:pt>
                <c:pt idx="242">
                  <c:v>0.71013371000000003</c:v>
                </c:pt>
                <c:pt idx="243">
                  <c:v>1.1987756199999999</c:v>
                </c:pt>
                <c:pt idx="244">
                  <c:v>1.19549061</c:v>
                </c:pt>
                <c:pt idx="245">
                  <c:v>1.1922056000000001</c:v>
                </c:pt>
                <c:pt idx="246">
                  <c:v>1.1889205899999999</c:v>
                </c:pt>
                <c:pt idx="247">
                  <c:v>1.18563559</c:v>
                </c:pt>
                <c:pt idx="248">
                  <c:v>0.69684245</c:v>
                </c:pt>
                <c:pt idx="249">
                  <c:v>0.69462723999999998</c:v>
                </c:pt>
                <c:pt idx="250">
                  <c:v>1.17578056</c:v>
                </c:pt>
                <c:pt idx="251">
                  <c:v>1.1724955500000001</c:v>
                </c:pt>
                <c:pt idx="252">
                  <c:v>1.1692105399999999</c:v>
                </c:pt>
                <c:pt idx="253">
                  <c:v>1.1659255399999999</c:v>
                </c:pt>
                <c:pt idx="254">
                  <c:v>1.16264053</c:v>
                </c:pt>
                <c:pt idx="255">
                  <c:v>0.68133597999999995</c:v>
                </c:pt>
                <c:pt idx="256">
                  <c:v>0.67912077999999998</c:v>
                </c:pt>
                <c:pt idx="257">
                  <c:v>1.1527855</c:v>
                </c:pt>
                <c:pt idx="258">
                  <c:v>1.1495004900000001</c:v>
                </c:pt>
                <c:pt idx="259">
                  <c:v>1.15354059</c:v>
                </c:pt>
                <c:pt idx="260">
                  <c:v>1.1575806799999999</c:v>
                </c:pt>
                <c:pt idx="261">
                  <c:v>1.1616207700000001</c:v>
                </c:pt>
                <c:pt idx="262">
                  <c:v>0.53578208999999999</c:v>
                </c:pt>
                <c:pt idx="263">
                  <c:v>0.53529643999999998</c:v>
                </c:pt>
                <c:pt idx="264">
                  <c:v>0.90396569000000004</c:v>
                </c:pt>
                <c:pt idx="265">
                  <c:v>0.91924642000000001</c:v>
                </c:pt>
                <c:pt idx="266">
                  <c:v>0.93452714999999997</c:v>
                </c:pt>
                <c:pt idx="267">
                  <c:v>0.94980788000000005</c:v>
                </c:pt>
                <c:pt idx="268">
                  <c:v>0.53286818000000002</c:v>
                </c:pt>
                <c:pt idx="269">
                  <c:v>0.53238253000000002</c:v>
                </c:pt>
                <c:pt idx="270">
                  <c:v>0.53189686999999997</c:v>
                </c:pt>
                <c:pt idx="271">
                  <c:v>1.0109307999999999</c:v>
                </c:pt>
                <c:pt idx="272">
                  <c:v>1.0262115300000001</c:v>
                </c:pt>
                <c:pt idx="273">
                  <c:v>1.0414922600000001</c:v>
                </c:pt>
                <c:pt idx="274">
                  <c:v>1.05677299</c:v>
                </c:pt>
                <c:pt idx="275">
                  <c:v>0.52995426000000001</c:v>
                </c:pt>
                <c:pt idx="276">
                  <c:v>0.52946861000000001</c:v>
                </c:pt>
                <c:pt idx="277">
                  <c:v>0.52898296</c:v>
                </c:pt>
                <c:pt idx="278">
                  <c:v>1.22626222</c:v>
                </c:pt>
                <c:pt idx="279">
                  <c:v>1.2303023099999999</c:v>
                </c:pt>
                <c:pt idx="280">
                  <c:v>1.2343424000000001</c:v>
                </c:pt>
                <c:pt idx="281">
                  <c:v>1.23838249</c:v>
                </c:pt>
                <c:pt idx="282">
                  <c:v>1.2424225799999999</c:v>
                </c:pt>
                <c:pt idx="283">
                  <c:v>0.74564668999999995</c:v>
                </c:pt>
                <c:pt idx="284">
                  <c:v>0.74860320000000002</c:v>
                </c:pt>
                <c:pt idx="285">
                  <c:v>1.25454285</c:v>
                </c:pt>
                <c:pt idx="286">
                  <c:v>1.2585829399999999</c:v>
                </c:pt>
                <c:pt idx="287">
                  <c:v>1.2626230300000001</c:v>
                </c:pt>
                <c:pt idx="288">
                  <c:v>1.26666312</c:v>
                </c:pt>
                <c:pt idx="289">
                  <c:v>1.27070321</c:v>
                </c:pt>
                <c:pt idx="290">
                  <c:v>0.76315909000000004</c:v>
                </c:pt>
                <c:pt idx="291">
                  <c:v>0.76293242000000006</c:v>
                </c:pt>
                <c:pt idx="292">
                  <c:v>1.2729036</c:v>
                </c:pt>
                <c:pt idx="293">
                  <c:v>1.27363706</c:v>
                </c:pt>
                <c:pt idx="294">
                  <c:v>1.27437052</c:v>
                </c:pt>
                <c:pt idx="295">
                  <c:v>1.2751039799999999</c:v>
                </c:pt>
                <c:pt idx="296">
                  <c:v>1.2758374400000001</c:v>
                </c:pt>
                <c:pt idx="297">
                  <c:v>0.76157235999999995</c:v>
                </c:pt>
                <c:pt idx="298">
                  <c:v>0.76134568000000002</c:v>
                </c:pt>
                <c:pt idx="299">
                  <c:v>1.2780378299999999</c:v>
                </c:pt>
                <c:pt idx="300">
                  <c:v>1.2787712899999999</c:v>
                </c:pt>
                <c:pt idx="301">
                  <c:v>1.2795047500000001</c:v>
                </c:pt>
                <c:pt idx="302">
                  <c:v>1.28023821</c:v>
                </c:pt>
                <c:pt idx="303">
                  <c:v>1.28097167</c:v>
                </c:pt>
                <c:pt idx="304">
                  <c:v>0.75998562000000003</c:v>
                </c:pt>
                <c:pt idx="305">
                  <c:v>0.75975895000000004</c:v>
                </c:pt>
                <c:pt idx="306">
                  <c:v>1.2824386000000001</c:v>
                </c:pt>
                <c:pt idx="307">
                  <c:v>1.2831720600000001</c:v>
                </c:pt>
                <c:pt idx="308">
                  <c:v>1.28390552</c:v>
                </c:pt>
                <c:pt idx="309">
                  <c:v>1.28463898</c:v>
                </c:pt>
                <c:pt idx="310">
                  <c:v>1.2853724399999999</c:v>
                </c:pt>
                <c:pt idx="311">
                  <c:v>0.75862556999999997</c:v>
                </c:pt>
                <c:pt idx="312">
                  <c:v>0.75839889000000005</c:v>
                </c:pt>
                <c:pt idx="313">
                  <c:v>1.28757283</c:v>
                </c:pt>
                <c:pt idx="314">
                  <c:v>1.28830629</c:v>
                </c:pt>
                <c:pt idx="315">
                  <c:v>1.2890397499999999</c:v>
                </c:pt>
                <c:pt idx="316">
                  <c:v>1.2897732099999999</c:v>
                </c:pt>
                <c:pt idx="317">
                  <c:v>1.2905066700000001</c:v>
                </c:pt>
                <c:pt idx="318">
                  <c:v>0.75703883000000005</c:v>
                </c:pt>
                <c:pt idx="319">
                  <c:v>0.75681215999999996</c:v>
                </c:pt>
                <c:pt idx="320">
                  <c:v>1.2927070599999999</c:v>
                </c:pt>
                <c:pt idx="321">
                  <c:v>1.29128212</c:v>
                </c:pt>
                <c:pt idx="322">
                  <c:v>1.28985718</c:v>
                </c:pt>
                <c:pt idx="323">
                  <c:v>1.2884322399999999</c:v>
                </c:pt>
                <c:pt idx="324">
                  <c:v>1.2870073</c:v>
                </c:pt>
                <c:pt idx="325">
                  <c:v>0.75793376000000001</c:v>
                </c:pt>
                <c:pt idx="326">
                  <c:v>0.75820341999999996</c:v>
                </c:pt>
                <c:pt idx="327">
                  <c:v>1.28273247</c:v>
                </c:pt>
                <c:pt idx="328">
                  <c:v>1.2813075300000001</c:v>
                </c:pt>
                <c:pt idx="329">
                  <c:v>1.2798825899999999</c:v>
                </c:pt>
                <c:pt idx="330">
                  <c:v>1.27845765</c:v>
                </c:pt>
                <c:pt idx="331">
                  <c:v>1.2770327100000001</c:v>
                </c:pt>
                <c:pt idx="332">
                  <c:v>0.75982136</c:v>
                </c:pt>
                <c:pt idx="333">
                  <c:v>0.76009101000000001</c:v>
                </c:pt>
                <c:pt idx="334">
                  <c:v>1.26990801</c:v>
                </c:pt>
                <c:pt idx="335">
                  <c:v>1.26848307</c:v>
                </c:pt>
                <c:pt idx="336">
                  <c:v>1.2670581299999999</c:v>
                </c:pt>
                <c:pt idx="337">
                  <c:v>1.26563319</c:v>
                </c:pt>
                <c:pt idx="338">
                  <c:v>1.26420825</c:v>
                </c:pt>
                <c:pt idx="339">
                  <c:v>0.76224826999999995</c:v>
                </c:pt>
                <c:pt idx="340">
                  <c:v>0.76251791999999996</c:v>
                </c:pt>
                <c:pt idx="341">
                  <c:v>1.25993343</c:v>
                </c:pt>
                <c:pt idx="342">
                  <c:v>1.2585084900000001</c:v>
                </c:pt>
                <c:pt idx="343">
                  <c:v>1.2570835499999999</c:v>
                </c:pt>
                <c:pt idx="344">
                  <c:v>1.25565861</c:v>
                </c:pt>
                <c:pt idx="345">
                  <c:v>1.2542336700000001</c:v>
                </c:pt>
                <c:pt idx="346">
                  <c:v>0.76413586</c:v>
                </c:pt>
                <c:pt idx="347">
                  <c:v>0.76440551999999995</c:v>
                </c:pt>
                <c:pt idx="348">
                  <c:v>1.2499588399999999</c:v>
                </c:pt>
                <c:pt idx="349">
                  <c:v>1.2481373</c:v>
                </c:pt>
                <c:pt idx="350">
                  <c:v>1.2463157499999999</c:v>
                </c:pt>
                <c:pt idx="351">
                  <c:v>1.2444942000000001</c:v>
                </c:pt>
                <c:pt idx="352">
                  <c:v>1.24267266</c:v>
                </c:pt>
                <c:pt idx="353">
                  <c:v>0.75169037999999999</c:v>
                </c:pt>
                <c:pt idx="354">
                  <c:v>0.74909342000000001</c:v>
                </c:pt>
                <c:pt idx="355">
                  <c:v>1.23720802</c:v>
                </c:pt>
                <c:pt idx="356">
                  <c:v>1.2353864699999999</c:v>
                </c:pt>
                <c:pt idx="357">
                  <c:v>1.2335649200000001</c:v>
                </c:pt>
                <c:pt idx="358">
                  <c:v>1.2317433799999999</c:v>
                </c:pt>
                <c:pt idx="359">
                  <c:v>1.2299218300000001</c:v>
                </c:pt>
                <c:pt idx="360">
                  <c:v>0.73351166000000001</c:v>
                </c:pt>
                <c:pt idx="361">
                  <c:v>0.73091470000000003</c:v>
                </c:pt>
                <c:pt idx="362">
                  <c:v>1.2244571900000001</c:v>
                </c:pt>
                <c:pt idx="363">
                  <c:v>1.22263564</c:v>
                </c:pt>
              </c:numCache>
            </c:numRef>
          </c:val>
          <c:smooth val="0"/>
          <c:extLst>
            <c:ext xmlns:c16="http://schemas.microsoft.com/office/drawing/2014/chart" uri="{C3380CC4-5D6E-409C-BE32-E72D297353CC}">
              <c16:uniqueId val="{00000000-C1C1-4D35-BD6A-F5838C46B59C}"/>
            </c:ext>
          </c:extLst>
        </c:ser>
        <c:dLbls>
          <c:showLegendKey val="0"/>
          <c:showVal val="0"/>
          <c:showCatName val="0"/>
          <c:showSerName val="0"/>
          <c:showPercent val="0"/>
          <c:showBubbleSize val="0"/>
        </c:dLbls>
        <c:smooth val="0"/>
        <c:axId val="570472975"/>
        <c:axId val="1"/>
      </c:lineChart>
      <c:dateAx>
        <c:axId val="570472975"/>
        <c:scaling>
          <c:orientation val="minMax"/>
        </c:scaling>
        <c:delete val="0"/>
        <c:axPos val="b"/>
        <c:numFmt formatCode="m/d/yyyy" sourceLinked="0"/>
        <c:majorTickMark val="out"/>
        <c:minorTickMark val="none"/>
        <c:tickLblPos val="nextTo"/>
        <c:txPr>
          <a:bodyPr rot="-5400000" vert="horz"/>
          <a:lstStyle/>
          <a:p>
            <a:pPr>
              <a:defRPr/>
            </a:pPr>
            <a:endParaRPr lang="fr-FR"/>
          </a:p>
        </c:txPr>
        <c:crossAx val="1"/>
        <c:crosses val="autoZero"/>
        <c:auto val="1"/>
        <c:lblOffset val="100"/>
        <c:baseTimeUnit val="days"/>
      </c:dateAx>
      <c:valAx>
        <c:axId val="1"/>
        <c:scaling>
          <c:orientation val="minMax"/>
          <c:max val="2.5"/>
        </c:scaling>
        <c:delete val="0"/>
        <c:axPos val="l"/>
        <c:majorGridlines/>
        <c:numFmt formatCode="0.0" sourceLinked="0"/>
        <c:majorTickMark val="out"/>
        <c:minorTickMark val="none"/>
        <c:tickLblPos val="nextTo"/>
        <c:crossAx val="570472975"/>
        <c:crosses val="autoZero"/>
        <c:crossBetween val="between"/>
        <c:majorUnit val="0.5"/>
        <c:minorUnit val="0.1"/>
      </c:valAx>
    </c:plotArea>
    <c:plotVisOnly val="1"/>
    <c:dispBlanksAs val="gap"/>
    <c:showDLblsOverMax val="0"/>
  </c:chart>
  <c:printSettings>
    <c:headerFooter/>
    <c:pageMargins b="0.75000000000000344" l="0.70000000000000062" r="0.70000000000000062" t="0.75000000000000344"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Profils!$H$1</c:f>
              <c:strCache>
                <c:ptCount val="1"/>
                <c:pt idx="0">
                  <c:v>P015</c:v>
                </c:pt>
              </c:strCache>
            </c:strRef>
          </c:tx>
          <c:spPr>
            <a:ln w="19050"/>
          </c:spPr>
          <c:marker>
            <c:symbol val="none"/>
          </c:marker>
          <c:cat>
            <c:numRef>
              <c:f>Profils!$B$2:$B$365</c:f>
              <c:numCache>
                <c:formatCode>m/d/yyyy</c:formatCode>
                <c:ptCount val="364"/>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pt idx="31">
                  <c:v>46144</c:v>
                </c:pt>
                <c:pt idx="32">
                  <c:v>46145</c:v>
                </c:pt>
                <c:pt idx="33">
                  <c:v>46146</c:v>
                </c:pt>
                <c:pt idx="34">
                  <c:v>46147</c:v>
                </c:pt>
                <c:pt idx="35">
                  <c:v>46148</c:v>
                </c:pt>
                <c:pt idx="36">
                  <c:v>46149</c:v>
                </c:pt>
                <c:pt idx="37">
                  <c:v>46150</c:v>
                </c:pt>
                <c:pt idx="38">
                  <c:v>46151</c:v>
                </c:pt>
                <c:pt idx="39">
                  <c:v>46152</c:v>
                </c:pt>
                <c:pt idx="40">
                  <c:v>46153</c:v>
                </c:pt>
                <c:pt idx="41">
                  <c:v>46154</c:v>
                </c:pt>
                <c:pt idx="42">
                  <c:v>46155</c:v>
                </c:pt>
                <c:pt idx="43">
                  <c:v>46156</c:v>
                </c:pt>
                <c:pt idx="44">
                  <c:v>46157</c:v>
                </c:pt>
                <c:pt idx="45">
                  <c:v>46158</c:v>
                </c:pt>
                <c:pt idx="46">
                  <c:v>46159</c:v>
                </c:pt>
                <c:pt idx="47">
                  <c:v>46160</c:v>
                </c:pt>
                <c:pt idx="48">
                  <c:v>46161</c:v>
                </c:pt>
                <c:pt idx="49">
                  <c:v>46162</c:v>
                </c:pt>
                <c:pt idx="50">
                  <c:v>46163</c:v>
                </c:pt>
                <c:pt idx="51">
                  <c:v>46164</c:v>
                </c:pt>
                <c:pt idx="52">
                  <c:v>46165</c:v>
                </c:pt>
                <c:pt idx="53">
                  <c:v>46166</c:v>
                </c:pt>
                <c:pt idx="54">
                  <c:v>46167</c:v>
                </c:pt>
                <c:pt idx="55">
                  <c:v>46168</c:v>
                </c:pt>
                <c:pt idx="56">
                  <c:v>46169</c:v>
                </c:pt>
                <c:pt idx="57">
                  <c:v>46170</c:v>
                </c:pt>
                <c:pt idx="58">
                  <c:v>46171</c:v>
                </c:pt>
                <c:pt idx="59">
                  <c:v>46172</c:v>
                </c:pt>
                <c:pt idx="60">
                  <c:v>46173</c:v>
                </c:pt>
                <c:pt idx="61">
                  <c:v>46174</c:v>
                </c:pt>
                <c:pt idx="62">
                  <c:v>46175</c:v>
                </c:pt>
                <c:pt idx="63">
                  <c:v>46176</c:v>
                </c:pt>
                <c:pt idx="64">
                  <c:v>46177</c:v>
                </c:pt>
                <c:pt idx="65">
                  <c:v>46178</c:v>
                </c:pt>
                <c:pt idx="66">
                  <c:v>46179</c:v>
                </c:pt>
                <c:pt idx="67">
                  <c:v>46180</c:v>
                </c:pt>
                <c:pt idx="68">
                  <c:v>46181</c:v>
                </c:pt>
                <c:pt idx="69">
                  <c:v>46182</c:v>
                </c:pt>
                <c:pt idx="70">
                  <c:v>46183</c:v>
                </c:pt>
                <c:pt idx="71">
                  <c:v>46184</c:v>
                </c:pt>
                <c:pt idx="72">
                  <c:v>46185</c:v>
                </c:pt>
                <c:pt idx="73">
                  <c:v>46186</c:v>
                </c:pt>
                <c:pt idx="74">
                  <c:v>46187</c:v>
                </c:pt>
                <c:pt idx="75">
                  <c:v>46188</c:v>
                </c:pt>
                <c:pt idx="76">
                  <c:v>46189</c:v>
                </c:pt>
                <c:pt idx="77">
                  <c:v>46190</c:v>
                </c:pt>
                <c:pt idx="78">
                  <c:v>46191</c:v>
                </c:pt>
                <c:pt idx="79">
                  <c:v>46192</c:v>
                </c:pt>
                <c:pt idx="80">
                  <c:v>46193</c:v>
                </c:pt>
                <c:pt idx="81">
                  <c:v>46194</c:v>
                </c:pt>
                <c:pt idx="82">
                  <c:v>46195</c:v>
                </c:pt>
                <c:pt idx="83">
                  <c:v>46196</c:v>
                </c:pt>
                <c:pt idx="84">
                  <c:v>46197</c:v>
                </c:pt>
                <c:pt idx="85">
                  <c:v>46198</c:v>
                </c:pt>
                <c:pt idx="86">
                  <c:v>46199</c:v>
                </c:pt>
                <c:pt idx="87">
                  <c:v>46200</c:v>
                </c:pt>
                <c:pt idx="88">
                  <c:v>46201</c:v>
                </c:pt>
                <c:pt idx="89">
                  <c:v>46202</c:v>
                </c:pt>
                <c:pt idx="90">
                  <c:v>46203</c:v>
                </c:pt>
                <c:pt idx="91">
                  <c:v>46204</c:v>
                </c:pt>
                <c:pt idx="92">
                  <c:v>46205</c:v>
                </c:pt>
                <c:pt idx="93">
                  <c:v>46206</c:v>
                </c:pt>
                <c:pt idx="94">
                  <c:v>46207</c:v>
                </c:pt>
                <c:pt idx="95">
                  <c:v>46208</c:v>
                </c:pt>
                <c:pt idx="96">
                  <c:v>46209</c:v>
                </c:pt>
                <c:pt idx="97">
                  <c:v>46210</c:v>
                </c:pt>
                <c:pt idx="98">
                  <c:v>46211</c:v>
                </c:pt>
                <c:pt idx="99">
                  <c:v>46212</c:v>
                </c:pt>
                <c:pt idx="100">
                  <c:v>46213</c:v>
                </c:pt>
                <c:pt idx="101">
                  <c:v>46214</c:v>
                </c:pt>
                <c:pt idx="102">
                  <c:v>46215</c:v>
                </c:pt>
                <c:pt idx="103">
                  <c:v>46216</c:v>
                </c:pt>
                <c:pt idx="104">
                  <c:v>46217</c:v>
                </c:pt>
                <c:pt idx="105">
                  <c:v>46218</c:v>
                </c:pt>
                <c:pt idx="106">
                  <c:v>46219</c:v>
                </c:pt>
                <c:pt idx="107">
                  <c:v>46220</c:v>
                </c:pt>
                <c:pt idx="108">
                  <c:v>46221</c:v>
                </c:pt>
                <c:pt idx="109">
                  <c:v>46222</c:v>
                </c:pt>
                <c:pt idx="110">
                  <c:v>46223</c:v>
                </c:pt>
                <c:pt idx="111">
                  <c:v>46224</c:v>
                </c:pt>
                <c:pt idx="112">
                  <c:v>46225</c:v>
                </c:pt>
                <c:pt idx="113">
                  <c:v>46226</c:v>
                </c:pt>
                <c:pt idx="114">
                  <c:v>46227</c:v>
                </c:pt>
                <c:pt idx="115">
                  <c:v>46228</c:v>
                </c:pt>
                <c:pt idx="116">
                  <c:v>46229</c:v>
                </c:pt>
                <c:pt idx="117">
                  <c:v>46230</c:v>
                </c:pt>
                <c:pt idx="118">
                  <c:v>46231</c:v>
                </c:pt>
                <c:pt idx="119">
                  <c:v>46232</c:v>
                </c:pt>
                <c:pt idx="120">
                  <c:v>46233</c:v>
                </c:pt>
                <c:pt idx="121">
                  <c:v>46234</c:v>
                </c:pt>
                <c:pt idx="122">
                  <c:v>46235</c:v>
                </c:pt>
                <c:pt idx="123">
                  <c:v>46236</c:v>
                </c:pt>
                <c:pt idx="124">
                  <c:v>46237</c:v>
                </c:pt>
                <c:pt idx="125">
                  <c:v>46238</c:v>
                </c:pt>
                <c:pt idx="126">
                  <c:v>46239</c:v>
                </c:pt>
                <c:pt idx="127">
                  <c:v>46240</c:v>
                </c:pt>
                <c:pt idx="128">
                  <c:v>46241</c:v>
                </c:pt>
                <c:pt idx="129">
                  <c:v>46242</c:v>
                </c:pt>
                <c:pt idx="130">
                  <c:v>46243</c:v>
                </c:pt>
                <c:pt idx="131">
                  <c:v>46244</c:v>
                </c:pt>
                <c:pt idx="132">
                  <c:v>46245</c:v>
                </c:pt>
                <c:pt idx="133">
                  <c:v>46246</c:v>
                </c:pt>
                <c:pt idx="134">
                  <c:v>46247</c:v>
                </c:pt>
                <c:pt idx="135">
                  <c:v>46248</c:v>
                </c:pt>
                <c:pt idx="136">
                  <c:v>46249</c:v>
                </c:pt>
                <c:pt idx="137">
                  <c:v>46250</c:v>
                </c:pt>
                <c:pt idx="138">
                  <c:v>46251</c:v>
                </c:pt>
                <c:pt idx="139">
                  <c:v>46252</c:v>
                </c:pt>
                <c:pt idx="140">
                  <c:v>46253</c:v>
                </c:pt>
                <c:pt idx="141">
                  <c:v>46254</c:v>
                </c:pt>
                <c:pt idx="142">
                  <c:v>46255</c:v>
                </c:pt>
                <c:pt idx="143">
                  <c:v>46256</c:v>
                </c:pt>
                <c:pt idx="144">
                  <c:v>46257</c:v>
                </c:pt>
                <c:pt idx="145">
                  <c:v>46258</c:v>
                </c:pt>
                <c:pt idx="146">
                  <c:v>46259</c:v>
                </c:pt>
                <c:pt idx="147">
                  <c:v>46260</c:v>
                </c:pt>
                <c:pt idx="148">
                  <c:v>46261</c:v>
                </c:pt>
                <c:pt idx="149">
                  <c:v>46262</c:v>
                </c:pt>
                <c:pt idx="150">
                  <c:v>46263</c:v>
                </c:pt>
                <c:pt idx="151">
                  <c:v>46264</c:v>
                </c:pt>
                <c:pt idx="152">
                  <c:v>46265</c:v>
                </c:pt>
                <c:pt idx="153">
                  <c:v>46266</c:v>
                </c:pt>
                <c:pt idx="154">
                  <c:v>46267</c:v>
                </c:pt>
                <c:pt idx="155">
                  <c:v>46268</c:v>
                </c:pt>
                <c:pt idx="156">
                  <c:v>46269</c:v>
                </c:pt>
                <c:pt idx="157">
                  <c:v>46270</c:v>
                </c:pt>
                <c:pt idx="158">
                  <c:v>46271</c:v>
                </c:pt>
                <c:pt idx="159">
                  <c:v>46272</c:v>
                </c:pt>
                <c:pt idx="160">
                  <c:v>46273</c:v>
                </c:pt>
                <c:pt idx="161">
                  <c:v>46274</c:v>
                </c:pt>
                <c:pt idx="162">
                  <c:v>46275</c:v>
                </c:pt>
                <c:pt idx="163">
                  <c:v>46276</c:v>
                </c:pt>
                <c:pt idx="164">
                  <c:v>46277</c:v>
                </c:pt>
                <c:pt idx="165">
                  <c:v>46278</c:v>
                </c:pt>
                <c:pt idx="166">
                  <c:v>46279</c:v>
                </c:pt>
                <c:pt idx="167">
                  <c:v>46280</c:v>
                </c:pt>
                <c:pt idx="168">
                  <c:v>46281</c:v>
                </c:pt>
                <c:pt idx="169">
                  <c:v>46282</c:v>
                </c:pt>
                <c:pt idx="170">
                  <c:v>46283</c:v>
                </c:pt>
                <c:pt idx="171">
                  <c:v>46284</c:v>
                </c:pt>
                <c:pt idx="172">
                  <c:v>46285</c:v>
                </c:pt>
                <c:pt idx="173">
                  <c:v>46286</c:v>
                </c:pt>
                <c:pt idx="174">
                  <c:v>46287</c:v>
                </c:pt>
                <c:pt idx="175">
                  <c:v>46288</c:v>
                </c:pt>
                <c:pt idx="176">
                  <c:v>46289</c:v>
                </c:pt>
                <c:pt idx="177">
                  <c:v>46290</c:v>
                </c:pt>
                <c:pt idx="178">
                  <c:v>46291</c:v>
                </c:pt>
                <c:pt idx="179">
                  <c:v>46292</c:v>
                </c:pt>
                <c:pt idx="180">
                  <c:v>46293</c:v>
                </c:pt>
                <c:pt idx="181">
                  <c:v>46294</c:v>
                </c:pt>
                <c:pt idx="182">
                  <c:v>46295</c:v>
                </c:pt>
                <c:pt idx="183">
                  <c:v>46296</c:v>
                </c:pt>
                <c:pt idx="184">
                  <c:v>46297</c:v>
                </c:pt>
                <c:pt idx="185">
                  <c:v>46298</c:v>
                </c:pt>
                <c:pt idx="186">
                  <c:v>46299</c:v>
                </c:pt>
                <c:pt idx="187">
                  <c:v>46300</c:v>
                </c:pt>
                <c:pt idx="188">
                  <c:v>46301</c:v>
                </c:pt>
                <c:pt idx="189">
                  <c:v>46302</c:v>
                </c:pt>
                <c:pt idx="190">
                  <c:v>46303</c:v>
                </c:pt>
                <c:pt idx="191">
                  <c:v>46304</c:v>
                </c:pt>
                <c:pt idx="192">
                  <c:v>46305</c:v>
                </c:pt>
                <c:pt idx="193">
                  <c:v>46306</c:v>
                </c:pt>
                <c:pt idx="194">
                  <c:v>46307</c:v>
                </c:pt>
                <c:pt idx="195">
                  <c:v>46308</c:v>
                </c:pt>
                <c:pt idx="196">
                  <c:v>46309</c:v>
                </c:pt>
                <c:pt idx="197">
                  <c:v>46310</c:v>
                </c:pt>
                <c:pt idx="198">
                  <c:v>46311</c:v>
                </c:pt>
                <c:pt idx="199">
                  <c:v>46312</c:v>
                </c:pt>
                <c:pt idx="200">
                  <c:v>46313</c:v>
                </c:pt>
                <c:pt idx="201">
                  <c:v>46314</c:v>
                </c:pt>
                <c:pt idx="202">
                  <c:v>46315</c:v>
                </c:pt>
                <c:pt idx="203">
                  <c:v>46316</c:v>
                </c:pt>
                <c:pt idx="204">
                  <c:v>46317</c:v>
                </c:pt>
                <c:pt idx="205">
                  <c:v>46318</c:v>
                </c:pt>
                <c:pt idx="206">
                  <c:v>46319</c:v>
                </c:pt>
                <c:pt idx="207">
                  <c:v>46320</c:v>
                </c:pt>
                <c:pt idx="208">
                  <c:v>46321</c:v>
                </c:pt>
                <c:pt idx="209">
                  <c:v>46322</c:v>
                </c:pt>
                <c:pt idx="210">
                  <c:v>46323</c:v>
                </c:pt>
                <c:pt idx="211">
                  <c:v>46324</c:v>
                </c:pt>
                <c:pt idx="212">
                  <c:v>46325</c:v>
                </c:pt>
                <c:pt idx="213">
                  <c:v>46326</c:v>
                </c:pt>
                <c:pt idx="214">
                  <c:v>46327</c:v>
                </c:pt>
                <c:pt idx="215">
                  <c:v>46328</c:v>
                </c:pt>
                <c:pt idx="216">
                  <c:v>46329</c:v>
                </c:pt>
                <c:pt idx="217">
                  <c:v>46330</c:v>
                </c:pt>
                <c:pt idx="218">
                  <c:v>46331</c:v>
                </c:pt>
                <c:pt idx="219">
                  <c:v>46332</c:v>
                </c:pt>
                <c:pt idx="220">
                  <c:v>46333</c:v>
                </c:pt>
                <c:pt idx="221">
                  <c:v>46334</c:v>
                </c:pt>
                <c:pt idx="222">
                  <c:v>46335</c:v>
                </c:pt>
                <c:pt idx="223">
                  <c:v>46336</c:v>
                </c:pt>
                <c:pt idx="224">
                  <c:v>46337</c:v>
                </c:pt>
                <c:pt idx="225">
                  <c:v>46338</c:v>
                </c:pt>
                <c:pt idx="226">
                  <c:v>46339</c:v>
                </c:pt>
                <c:pt idx="227">
                  <c:v>46340</c:v>
                </c:pt>
                <c:pt idx="228">
                  <c:v>46341</c:v>
                </c:pt>
                <c:pt idx="229">
                  <c:v>46342</c:v>
                </c:pt>
                <c:pt idx="230">
                  <c:v>46343</c:v>
                </c:pt>
                <c:pt idx="231">
                  <c:v>46344</c:v>
                </c:pt>
                <c:pt idx="232">
                  <c:v>46345</c:v>
                </c:pt>
                <c:pt idx="233">
                  <c:v>46346</c:v>
                </c:pt>
                <c:pt idx="234">
                  <c:v>46347</c:v>
                </c:pt>
                <c:pt idx="235">
                  <c:v>46348</c:v>
                </c:pt>
                <c:pt idx="236">
                  <c:v>46349</c:v>
                </c:pt>
                <c:pt idx="237">
                  <c:v>46350</c:v>
                </c:pt>
                <c:pt idx="238">
                  <c:v>46351</c:v>
                </c:pt>
                <c:pt idx="239">
                  <c:v>46352</c:v>
                </c:pt>
                <c:pt idx="240">
                  <c:v>46353</c:v>
                </c:pt>
                <c:pt idx="241">
                  <c:v>46354</c:v>
                </c:pt>
                <c:pt idx="242">
                  <c:v>46355</c:v>
                </c:pt>
                <c:pt idx="243">
                  <c:v>46356</c:v>
                </c:pt>
                <c:pt idx="244">
                  <c:v>46357</c:v>
                </c:pt>
                <c:pt idx="245">
                  <c:v>46358</c:v>
                </c:pt>
                <c:pt idx="246">
                  <c:v>46359</c:v>
                </c:pt>
                <c:pt idx="247">
                  <c:v>46360</c:v>
                </c:pt>
                <c:pt idx="248">
                  <c:v>46361</c:v>
                </c:pt>
                <c:pt idx="249">
                  <c:v>46362</c:v>
                </c:pt>
                <c:pt idx="250">
                  <c:v>46363</c:v>
                </c:pt>
                <c:pt idx="251">
                  <c:v>46364</c:v>
                </c:pt>
                <c:pt idx="252">
                  <c:v>46365</c:v>
                </c:pt>
                <c:pt idx="253">
                  <c:v>46366</c:v>
                </c:pt>
                <c:pt idx="254">
                  <c:v>46367</c:v>
                </c:pt>
                <c:pt idx="255">
                  <c:v>46368</c:v>
                </c:pt>
                <c:pt idx="256">
                  <c:v>46369</c:v>
                </c:pt>
                <c:pt idx="257">
                  <c:v>46370</c:v>
                </c:pt>
                <c:pt idx="258">
                  <c:v>46371</c:v>
                </c:pt>
                <c:pt idx="259">
                  <c:v>46372</c:v>
                </c:pt>
                <c:pt idx="260">
                  <c:v>46373</c:v>
                </c:pt>
                <c:pt idx="261">
                  <c:v>46374</c:v>
                </c:pt>
                <c:pt idx="262">
                  <c:v>46375</c:v>
                </c:pt>
                <c:pt idx="263">
                  <c:v>46376</c:v>
                </c:pt>
                <c:pt idx="264">
                  <c:v>46377</c:v>
                </c:pt>
                <c:pt idx="265">
                  <c:v>46378</c:v>
                </c:pt>
                <c:pt idx="266">
                  <c:v>46379</c:v>
                </c:pt>
                <c:pt idx="267">
                  <c:v>46380</c:v>
                </c:pt>
                <c:pt idx="268">
                  <c:v>46381</c:v>
                </c:pt>
                <c:pt idx="269">
                  <c:v>46382</c:v>
                </c:pt>
                <c:pt idx="270">
                  <c:v>46383</c:v>
                </c:pt>
                <c:pt idx="271">
                  <c:v>46384</c:v>
                </c:pt>
                <c:pt idx="272">
                  <c:v>46385</c:v>
                </c:pt>
                <c:pt idx="273">
                  <c:v>46386</c:v>
                </c:pt>
                <c:pt idx="274">
                  <c:v>46387</c:v>
                </c:pt>
                <c:pt idx="275">
                  <c:v>46388</c:v>
                </c:pt>
                <c:pt idx="276">
                  <c:v>46389</c:v>
                </c:pt>
                <c:pt idx="277">
                  <c:v>46390</c:v>
                </c:pt>
                <c:pt idx="278">
                  <c:v>46391</c:v>
                </c:pt>
                <c:pt idx="279">
                  <c:v>46392</c:v>
                </c:pt>
                <c:pt idx="280">
                  <c:v>46393</c:v>
                </c:pt>
                <c:pt idx="281">
                  <c:v>46394</c:v>
                </c:pt>
                <c:pt idx="282">
                  <c:v>46395</c:v>
                </c:pt>
                <c:pt idx="283">
                  <c:v>46396</c:v>
                </c:pt>
                <c:pt idx="284">
                  <c:v>46397</c:v>
                </c:pt>
                <c:pt idx="285">
                  <c:v>46398</c:v>
                </c:pt>
                <c:pt idx="286">
                  <c:v>46399</c:v>
                </c:pt>
                <c:pt idx="287">
                  <c:v>46400</c:v>
                </c:pt>
                <c:pt idx="288">
                  <c:v>46401</c:v>
                </c:pt>
                <c:pt idx="289">
                  <c:v>46402</c:v>
                </c:pt>
                <c:pt idx="290">
                  <c:v>46403</c:v>
                </c:pt>
                <c:pt idx="291">
                  <c:v>46404</c:v>
                </c:pt>
                <c:pt idx="292">
                  <c:v>46405</c:v>
                </c:pt>
                <c:pt idx="293">
                  <c:v>46406</c:v>
                </c:pt>
                <c:pt idx="294">
                  <c:v>46407</c:v>
                </c:pt>
                <c:pt idx="295">
                  <c:v>46408</c:v>
                </c:pt>
                <c:pt idx="296">
                  <c:v>46409</c:v>
                </c:pt>
                <c:pt idx="297">
                  <c:v>46410</c:v>
                </c:pt>
                <c:pt idx="298">
                  <c:v>46411</c:v>
                </c:pt>
                <c:pt idx="299">
                  <c:v>46412</c:v>
                </c:pt>
                <c:pt idx="300">
                  <c:v>46413</c:v>
                </c:pt>
                <c:pt idx="301">
                  <c:v>46414</c:v>
                </c:pt>
                <c:pt idx="302">
                  <c:v>46415</c:v>
                </c:pt>
                <c:pt idx="303">
                  <c:v>46416</c:v>
                </c:pt>
                <c:pt idx="304">
                  <c:v>46417</c:v>
                </c:pt>
                <c:pt idx="305">
                  <c:v>46418</c:v>
                </c:pt>
                <c:pt idx="306">
                  <c:v>46419</c:v>
                </c:pt>
                <c:pt idx="307">
                  <c:v>46420</c:v>
                </c:pt>
                <c:pt idx="308">
                  <c:v>46421</c:v>
                </c:pt>
                <c:pt idx="309">
                  <c:v>46422</c:v>
                </c:pt>
                <c:pt idx="310">
                  <c:v>46423</c:v>
                </c:pt>
                <c:pt idx="311">
                  <c:v>46424</c:v>
                </c:pt>
                <c:pt idx="312">
                  <c:v>46425</c:v>
                </c:pt>
                <c:pt idx="313">
                  <c:v>46426</c:v>
                </c:pt>
                <c:pt idx="314">
                  <c:v>46427</c:v>
                </c:pt>
                <c:pt idx="315">
                  <c:v>46428</c:v>
                </c:pt>
                <c:pt idx="316">
                  <c:v>46429</c:v>
                </c:pt>
                <c:pt idx="317">
                  <c:v>46430</c:v>
                </c:pt>
                <c:pt idx="318">
                  <c:v>46431</c:v>
                </c:pt>
                <c:pt idx="319">
                  <c:v>46432</c:v>
                </c:pt>
                <c:pt idx="320">
                  <c:v>46433</c:v>
                </c:pt>
                <c:pt idx="321">
                  <c:v>46434</c:v>
                </c:pt>
                <c:pt idx="322">
                  <c:v>46435</c:v>
                </c:pt>
                <c:pt idx="323">
                  <c:v>46436</c:v>
                </c:pt>
                <c:pt idx="324">
                  <c:v>46437</c:v>
                </c:pt>
                <c:pt idx="325">
                  <c:v>46438</c:v>
                </c:pt>
                <c:pt idx="326">
                  <c:v>46439</c:v>
                </c:pt>
                <c:pt idx="327">
                  <c:v>46440</c:v>
                </c:pt>
                <c:pt idx="328">
                  <c:v>46441</c:v>
                </c:pt>
                <c:pt idx="329">
                  <c:v>46442</c:v>
                </c:pt>
                <c:pt idx="330">
                  <c:v>46443</c:v>
                </c:pt>
                <c:pt idx="331">
                  <c:v>46444</c:v>
                </c:pt>
                <c:pt idx="332">
                  <c:v>46445</c:v>
                </c:pt>
                <c:pt idx="333">
                  <c:v>46446</c:v>
                </c:pt>
                <c:pt idx="334">
                  <c:v>46447</c:v>
                </c:pt>
                <c:pt idx="335">
                  <c:v>46448</c:v>
                </c:pt>
                <c:pt idx="336">
                  <c:v>46449</c:v>
                </c:pt>
                <c:pt idx="337">
                  <c:v>46450</c:v>
                </c:pt>
                <c:pt idx="338">
                  <c:v>46451</c:v>
                </c:pt>
                <c:pt idx="339">
                  <c:v>46452</c:v>
                </c:pt>
                <c:pt idx="340">
                  <c:v>46453</c:v>
                </c:pt>
                <c:pt idx="341">
                  <c:v>46454</c:v>
                </c:pt>
                <c:pt idx="342">
                  <c:v>46455</c:v>
                </c:pt>
                <c:pt idx="343">
                  <c:v>46456</c:v>
                </c:pt>
                <c:pt idx="344">
                  <c:v>46457</c:v>
                </c:pt>
                <c:pt idx="345">
                  <c:v>46458</c:v>
                </c:pt>
                <c:pt idx="346">
                  <c:v>46459</c:v>
                </c:pt>
                <c:pt idx="347">
                  <c:v>46460</c:v>
                </c:pt>
                <c:pt idx="348">
                  <c:v>46461</c:v>
                </c:pt>
                <c:pt idx="349">
                  <c:v>46462</c:v>
                </c:pt>
                <c:pt idx="350">
                  <c:v>46463</c:v>
                </c:pt>
                <c:pt idx="351">
                  <c:v>46464</c:v>
                </c:pt>
                <c:pt idx="352">
                  <c:v>46465</c:v>
                </c:pt>
                <c:pt idx="353">
                  <c:v>46466</c:v>
                </c:pt>
                <c:pt idx="354">
                  <c:v>46467</c:v>
                </c:pt>
                <c:pt idx="355">
                  <c:v>46468</c:v>
                </c:pt>
                <c:pt idx="356">
                  <c:v>46469</c:v>
                </c:pt>
                <c:pt idx="357">
                  <c:v>46470</c:v>
                </c:pt>
                <c:pt idx="358">
                  <c:v>46471</c:v>
                </c:pt>
                <c:pt idx="359">
                  <c:v>46472</c:v>
                </c:pt>
                <c:pt idx="360">
                  <c:v>46473</c:v>
                </c:pt>
                <c:pt idx="361">
                  <c:v>46474</c:v>
                </c:pt>
                <c:pt idx="362">
                  <c:v>46475</c:v>
                </c:pt>
                <c:pt idx="363">
                  <c:v>46476</c:v>
                </c:pt>
              </c:numCache>
            </c:numRef>
          </c:cat>
          <c:val>
            <c:numRef>
              <c:f>Profils!$H$2:$H$365</c:f>
              <c:numCache>
                <c:formatCode>General</c:formatCode>
                <c:ptCount val="364"/>
                <c:pt idx="0">
                  <c:v>1.3556576600000001</c:v>
                </c:pt>
                <c:pt idx="1">
                  <c:v>1.3503031999999999</c:v>
                </c:pt>
                <c:pt idx="2">
                  <c:v>1.3448139400000001</c:v>
                </c:pt>
                <c:pt idx="3">
                  <c:v>0.83715256999999998</c:v>
                </c:pt>
                <c:pt idx="4">
                  <c:v>0.83228827000000005</c:v>
                </c:pt>
                <c:pt idx="5">
                  <c:v>0.82739664000000002</c:v>
                </c:pt>
                <c:pt idx="6">
                  <c:v>1.3225209099999999</c:v>
                </c:pt>
                <c:pt idx="7">
                  <c:v>1.31673391</c:v>
                </c:pt>
                <c:pt idx="8">
                  <c:v>1.3110323399999999</c:v>
                </c:pt>
                <c:pt idx="9">
                  <c:v>1.3052093199999999</c:v>
                </c:pt>
                <c:pt idx="10">
                  <c:v>0.80255931000000003</c:v>
                </c:pt>
                <c:pt idx="11">
                  <c:v>0.79774756000000002</c:v>
                </c:pt>
                <c:pt idx="12">
                  <c:v>1.2875880500000001</c:v>
                </c:pt>
                <c:pt idx="13">
                  <c:v>1.28150772</c:v>
                </c:pt>
                <c:pt idx="14">
                  <c:v>1.2755246499999999</c:v>
                </c:pt>
                <c:pt idx="15">
                  <c:v>1.26950159</c:v>
                </c:pt>
                <c:pt idx="16">
                  <c:v>1.2635101399999999</c:v>
                </c:pt>
                <c:pt idx="17">
                  <c:v>0.76801565000000005</c:v>
                </c:pt>
                <c:pt idx="18">
                  <c:v>0.76307544000000005</c:v>
                </c:pt>
                <c:pt idx="19">
                  <c:v>1.2450490999999999</c:v>
                </c:pt>
                <c:pt idx="20">
                  <c:v>1.23885578</c:v>
                </c:pt>
                <c:pt idx="21">
                  <c:v>1.2327039</c:v>
                </c:pt>
                <c:pt idx="22">
                  <c:v>1.22645618</c:v>
                </c:pt>
                <c:pt idx="23">
                  <c:v>1.2201841499999999</c:v>
                </c:pt>
                <c:pt idx="24">
                  <c:v>0.73338163999999995</c:v>
                </c:pt>
                <c:pt idx="25">
                  <c:v>0.72858237000000003</c:v>
                </c:pt>
                <c:pt idx="26">
                  <c:v>1.2013109099999999</c:v>
                </c:pt>
                <c:pt idx="27">
                  <c:v>1.1950302399999999</c:v>
                </c:pt>
                <c:pt idx="28">
                  <c:v>1.1887346400000001</c:v>
                </c:pt>
                <c:pt idx="29">
                  <c:v>1.18235632</c:v>
                </c:pt>
                <c:pt idx="30">
                  <c:v>0.70402421999999998</c:v>
                </c:pt>
                <c:pt idx="31">
                  <c:v>0.69896100999999999</c:v>
                </c:pt>
                <c:pt idx="32">
                  <c:v>0.69389422000000001</c:v>
                </c:pt>
                <c:pt idx="33">
                  <c:v>1.15688678</c:v>
                </c:pt>
                <c:pt idx="34">
                  <c:v>1.1504693800000001</c:v>
                </c:pt>
                <c:pt idx="35">
                  <c:v>1.1441188900000001</c:v>
                </c:pt>
                <c:pt idx="36">
                  <c:v>1.1377673399999999</c:v>
                </c:pt>
                <c:pt idx="37">
                  <c:v>0.66920972999999995</c:v>
                </c:pt>
                <c:pt idx="38">
                  <c:v>0.66436293000000002</c:v>
                </c:pt>
                <c:pt idx="39">
                  <c:v>0.65929256000000003</c:v>
                </c:pt>
                <c:pt idx="40">
                  <c:v>1.11217353</c:v>
                </c:pt>
                <c:pt idx="41">
                  <c:v>1.1057706899999999</c:v>
                </c:pt>
                <c:pt idx="42">
                  <c:v>1.0994456699999999</c:v>
                </c:pt>
                <c:pt idx="43">
                  <c:v>0.63926711000000003</c:v>
                </c:pt>
                <c:pt idx="44">
                  <c:v>1.0866867</c:v>
                </c:pt>
                <c:pt idx="45">
                  <c:v>0.62916952999999998</c:v>
                </c:pt>
                <c:pt idx="46">
                  <c:v>0.62412992</c:v>
                </c:pt>
                <c:pt idx="47">
                  <c:v>1.06757517</c:v>
                </c:pt>
                <c:pt idx="48">
                  <c:v>1.06125895</c:v>
                </c:pt>
                <c:pt idx="49">
                  <c:v>1.05489078</c:v>
                </c:pt>
                <c:pt idx="50">
                  <c:v>1.0486111499999999</c:v>
                </c:pt>
                <c:pt idx="51">
                  <c:v>1.04235166</c:v>
                </c:pt>
                <c:pt idx="52">
                  <c:v>0.60719771</c:v>
                </c:pt>
                <c:pt idx="53">
                  <c:v>0.60469676000000006</c:v>
                </c:pt>
                <c:pt idx="54">
                  <c:v>0.60220666</c:v>
                </c:pt>
                <c:pt idx="55">
                  <c:v>1.0172600300000001</c:v>
                </c:pt>
                <c:pt idx="56">
                  <c:v>1.01104897</c:v>
                </c:pt>
                <c:pt idx="57">
                  <c:v>1.0047952200000001</c:v>
                </c:pt>
                <c:pt idx="58">
                  <c:v>0.99877026000000002</c:v>
                </c:pt>
                <c:pt idx="59">
                  <c:v>0.58993644000000001</c:v>
                </c:pt>
                <c:pt idx="60">
                  <c:v>0.58752183000000002</c:v>
                </c:pt>
                <c:pt idx="61">
                  <c:v>0.98298607999999998</c:v>
                </c:pt>
                <c:pt idx="62">
                  <c:v>0.97778737000000004</c:v>
                </c:pt>
                <c:pt idx="63">
                  <c:v>0.97262163000000001</c:v>
                </c:pt>
                <c:pt idx="64">
                  <c:v>0.96748979000000002</c:v>
                </c:pt>
                <c:pt idx="65">
                  <c:v>0.96239282000000004</c:v>
                </c:pt>
                <c:pt idx="66">
                  <c:v>0.57334863000000003</c:v>
                </c:pt>
                <c:pt idx="67">
                  <c:v>0.57104288999999997</c:v>
                </c:pt>
                <c:pt idx="68">
                  <c:v>0.94732024000000004</c:v>
                </c:pt>
                <c:pt idx="69">
                  <c:v>0.94237185999999995</c:v>
                </c:pt>
                <c:pt idx="70">
                  <c:v>0.93746288</c:v>
                </c:pt>
                <c:pt idx="71">
                  <c:v>0.93259420000000004</c:v>
                </c:pt>
                <c:pt idx="72">
                  <c:v>0.92776669</c:v>
                </c:pt>
                <c:pt idx="73">
                  <c:v>0.55758525000000003</c:v>
                </c:pt>
                <c:pt idx="74">
                  <c:v>0.55540891000000003</c:v>
                </c:pt>
                <c:pt idx="75">
                  <c:v>0.91354004</c:v>
                </c:pt>
                <c:pt idx="76">
                  <c:v>0.90888606000000005</c:v>
                </c:pt>
                <c:pt idx="77">
                  <c:v>0.90427765999999998</c:v>
                </c:pt>
                <c:pt idx="78">
                  <c:v>0.89971572</c:v>
                </c:pt>
                <c:pt idx="79">
                  <c:v>0.89520115</c:v>
                </c:pt>
                <c:pt idx="80">
                  <c:v>0.54278738000000004</c:v>
                </c:pt>
                <c:pt idx="81">
                  <c:v>0.54076035</c:v>
                </c:pt>
                <c:pt idx="82">
                  <c:v>0.88195060000000003</c:v>
                </c:pt>
                <c:pt idx="83">
                  <c:v>0.87763449000000004</c:v>
                </c:pt>
                <c:pt idx="84">
                  <c:v>0.87337028000000005</c:v>
                </c:pt>
                <c:pt idx="85">
                  <c:v>0.86915891999999995</c:v>
                </c:pt>
                <c:pt idx="86">
                  <c:v>0.86500133000000001</c:v>
                </c:pt>
                <c:pt idx="87">
                  <c:v>0.52909547999999995</c:v>
                </c:pt>
                <c:pt idx="88">
                  <c:v>0.52723823999999997</c:v>
                </c:pt>
                <c:pt idx="89">
                  <c:v>0.85286086999999999</c:v>
                </c:pt>
                <c:pt idx="90">
                  <c:v>0.84892805999999998</c:v>
                </c:pt>
                <c:pt idx="91">
                  <c:v>0.84505392000000001</c:v>
                </c:pt>
                <c:pt idx="92">
                  <c:v>0.84123945</c:v>
                </c:pt>
                <c:pt idx="93">
                  <c:v>0.83748568999999995</c:v>
                </c:pt>
                <c:pt idx="94">
                  <c:v>0.51665707999999999</c:v>
                </c:pt>
                <c:pt idx="95">
                  <c:v>0.51499161999999998</c:v>
                </c:pt>
                <c:pt idx="96">
                  <c:v>0.82659903000000001</c:v>
                </c:pt>
                <c:pt idx="97">
                  <c:v>0.82309856999999997</c:v>
                </c:pt>
                <c:pt idx="98">
                  <c:v>0.81966412</c:v>
                </c:pt>
                <c:pt idx="99">
                  <c:v>0.81629678000000006</c:v>
                </c:pt>
                <c:pt idx="100">
                  <c:v>0.81299765000000002</c:v>
                </c:pt>
                <c:pt idx="101">
                  <c:v>0.50563164999999999</c:v>
                </c:pt>
                <c:pt idx="102">
                  <c:v>0.50418183999999999</c:v>
                </c:pt>
                <c:pt idx="103">
                  <c:v>0.80352084999999995</c:v>
                </c:pt>
                <c:pt idx="104">
                  <c:v>0.50138132999999996</c:v>
                </c:pt>
                <c:pt idx="105">
                  <c:v>0.79756486000000004</c:v>
                </c:pt>
                <c:pt idx="106">
                  <c:v>0.79469889999999999</c:v>
                </c:pt>
                <c:pt idx="107">
                  <c:v>0.79190917999999999</c:v>
                </c:pt>
                <c:pt idx="108">
                  <c:v>0.49619162</c:v>
                </c:pt>
                <c:pt idx="109">
                  <c:v>0.49498302</c:v>
                </c:pt>
                <c:pt idx="110">
                  <c:v>0.78400924000000005</c:v>
                </c:pt>
                <c:pt idx="111">
                  <c:v>0.78153625999999998</c:v>
                </c:pt>
                <c:pt idx="112">
                  <c:v>0.77914541999999998</c:v>
                </c:pt>
                <c:pt idx="113">
                  <c:v>0.77683789000000003</c:v>
                </c:pt>
                <c:pt idx="114">
                  <c:v>0.77461484000000003</c:v>
                </c:pt>
                <c:pt idx="115">
                  <c:v>0.48851907999999999</c:v>
                </c:pt>
                <c:pt idx="116">
                  <c:v>0.48757808000000002</c:v>
                </c:pt>
                <c:pt idx="117">
                  <c:v>0.76846433000000003</c:v>
                </c:pt>
                <c:pt idx="118">
                  <c:v>0.76659089000000002</c:v>
                </c:pt>
                <c:pt idx="119">
                  <c:v>0.76480771000000003</c:v>
                </c:pt>
                <c:pt idx="120">
                  <c:v>0.76311593</c:v>
                </c:pt>
                <c:pt idx="121">
                  <c:v>0.76151663999999997</c:v>
                </c:pt>
                <c:pt idx="122">
                  <c:v>0.48279820000000001</c:v>
                </c:pt>
                <c:pt idx="123">
                  <c:v>0.48215068</c:v>
                </c:pt>
                <c:pt idx="124">
                  <c:v>0.75728459999999997</c:v>
                </c:pt>
                <c:pt idx="125">
                  <c:v>0.75606603999999999</c:v>
                </c:pt>
                <c:pt idx="126">
                  <c:v>0.75494523999999996</c:v>
                </c:pt>
                <c:pt idx="127">
                  <c:v>0.75392316999999998</c:v>
                </c:pt>
                <c:pt idx="128">
                  <c:v>0.75300080000000003</c:v>
                </c:pt>
                <c:pt idx="129">
                  <c:v>0.47920415</c:v>
                </c:pt>
                <c:pt idx="130">
                  <c:v>0.47887362999999999</c:v>
                </c:pt>
                <c:pt idx="131">
                  <c:v>0.75084094000000001</c:v>
                </c:pt>
                <c:pt idx="132">
                  <c:v>0.75032626000000002</c:v>
                </c:pt>
                <c:pt idx="133">
                  <c:v>0.74991556999999998</c:v>
                </c:pt>
                <c:pt idx="134">
                  <c:v>0.74960959999999999</c:v>
                </c:pt>
                <c:pt idx="135">
                  <c:v>0.74940907000000001</c:v>
                </c:pt>
                <c:pt idx="136">
                  <c:v>0.47788966999999999</c:v>
                </c:pt>
                <c:pt idx="137">
                  <c:v>0.47789531000000002</c:v>
                </c:pt>
                <c:pt idx="138">
                  <c:v>0.74944653000000006</c:v>
                </c:pt>
                <c:pt idx="139">
                  <c:v>0.74967395000000003</c:v>
                </c:pt>
                <c:pt idx="140">
                  <c:v>0.75000966999999996</c:v>
                </c:pt>
                <c:pt idx="141">
                  <c:v>0.75045413000000005</c:v>
                </c:pt>
                <c:pt idx="142">
                  <c:v>0.75100769000000001</c:v>
                </c:pt>
                <c:pt idx="143">
                  <c:v>0.47897086</c:v>
                </c:pt>
                <c:pt idx="144">
                  <c:v>0.47932544999999999</c:v>
                </c:pt>
                <c:pt idx="145">
                  <c:v>0.75332599</c:v>
                </c:pt>
                <c:pt idx="146">
                  <c:v>0.75431866999999997</c:v>
                </c:pt>
                <c:pt idx="147">
                  <c:v>0.75542151000000002</c:v>
                </c:pt>
                <c:pt idx="148">
                  <c:v>0.75663457000000001</c:v>
                </c:pt>
                <c:pt idx="149">
                  <c:v>0.75795780999999995</c:v>
                </c:pt>
                <c:pt idx="150">
                  <c:v>0.48251378</c:v>
                </c:pt>
                <c:pt idx="151">
                  <c:v>0.48322199999999998</c:v>
                </c:pt>
                <c:pt idx="152">
                  <c:v>0.76258751999999996</c:v>
                </c:pt>
                <c:pt idx="153">
                  <c:v>0.76435006000000005</c:v>
                </c:pt>
                <c:pt idx="154">
                  <c:v>0.76622177000000002</c:v>
                </c:pt>
                <c:pt idx="155">
                  <c:v>0.76820222999999999</c:v>
                </c:pt>
                <c:pt idx="156">
                  <c:v>0.77029099999999995</c:v>
                </c:pt>
                <c:pt idx="157">
                  <c:v>0.48852371999999999</c:v>
                </c:pt>
                <c:pt idx="158">
                  <c:v>0.48958089999999999</c:v>
                </c:pt>
                <c:pt idx="159">
                  <c:v>0.77720159</c:v>
                </c:pt>
                <c:pt idx="160">
                  <c:v>0.77971771000000001</c:v>
                </c:pt>
                <c:pt idx="161">
                  <c:v>0.78233887999999996</c:v>
                </c:pt>
                <c:pt idx="162">
                  <c:v>0.78506425999999996</c:v>
                </c:pt>
                <c:pt idx="163">
                  <c:v>0.78789295000000004</c:v>
                </c:pt>
                <c:pt idx="164">
                  <c:v>0.4969383</c:v>
                </c:pt>
                <c:pt idx="165">
                  <c:v>0.49832984000000002</c:v>
                </c:pt>
                <c:pt idx="166">
                  <c:v>0.79698888999999995</c:v>
                </c:pt>
                <c:pt idx="167">
                  <c:v>0.80022053000000004</c:v>
                </c:pt>
                <c:pt idx="168">
                  <c:v>0.80355003000000003</c:v>
                </c:pt>
                <c:pt idx="169">
                  <c:v>0.80697613999999995</c:v>
                </c:pt>
                <c:pt idx="170">
                  <c:v>0.81049751999999997</c:v>
                </c:pt>
                <c:pt idx="171">
                  <c:v>0.50762552999999999</c:v>
                </c:pt>
                <c:pt idx="172">
                  <c:v>0.50932701000000002</c:v>
                </c:pt>
                <c:pt idx="173">
                  <c:v>0.82288037999999997</c:v>
                </c:pt>
                <c:pt idx="174">
                  <c:v>0.82760394000000004</c:v>
                </c:pt>
                <c:pt idx="175">
                  <c:v>0.83248495</c:v>
                </c:pt>
                <c:pt idx="176">
                  <c:v>0.83738254999999995</c:v>
                </c:pt>
                <c:pt idx="177">
                  <c:v>0.84243429000000003</c:v>
                </c:pt>
                <c:pt idx="178">
                  <c:v>0.52038706000000001</c:v>
                </c:pt>
                <c:pt idx="179">
                  <c:v>0.52236514999999994</c:v>
                </c:pt>
                <c:pt idx="180">
                  <c:v>0.85800947999999999</c:v>
                </c:pt>
                <c:pt idx="181">
                  <c:v>0.86331192999999995</c:v>
                </c:pt>
                <c:pt idx="182">
                  <c:v>0.86875946000000004</c:v>
                </c:pt>
                <c:pt idx="183">
                  <c:v>0.87435010999999996</c:v>
                </c:pt>
                <c:pt idx="184">
                  <c:v>0.88001231999999996</c:v>
                </c:pt>
                <c:pt idx="185">
                  <c:v>0.54390428000000002</c:v>
                </c:pt>
                <c:pt idx="186">
                  <c:v>0.54927219999999999</c:v>
                </c:pt>
                <c:pt idx="187">
                  <c:v>0.89733852000000003</c:v>
                </c:pt>
                <c:pt idx="188">
                  <c:v>0.90319707000000005</c:v>
                </c:pt>
                <c:pt idx="189">
                  <c:v>0.90918653999999999</c:v>
                </c:pt>
                <c:pt idx="190">
                  <c:v>0.91523518000000004</c:v>
                </c:pt>
                <c:pt idx="191">
                  <c:v>0.92141048000000003</c:v>
                </c:pt>
                <c:pt idx="192">
                  <c:v>0.58207699000000002</c:v>
                </c:pt>
                <c:pt idx="193">
                  <c:v>0.58786015999999996</c:v>
                </c:pt>
                <c:pt idx="194">
                  <c:v>0.94011769999999995</c:v>
                </c:pt>
                <c:pt idx="195">
                  <c:v>0.94642981999999998</c:v>
                </c:pt>
                <c:pt idx="196">
                  <c:v>0.95292730999999997</c:v>
                </c:pt>
                <c:pt idx="197">
                  <c:v>0.95939909000000001</c:v>
                </c:pt>
                <c:pt idx="198">
                  <c:v>0.96584298000000002</c:v>
                </c:pt>
                <c:pt idx="199">
                  <c:v>0.62278546000000001</c:v>
                </c:pt>
                <c:pt idx="200">
                  <c:v>0.62870970999999998</c:v>
                </c:pt>
                <c:pt idx="201">
                  <c:v>0.98568127999999999</c:v>
                </c:pt>
                <c:pt idx="202">
                  <c:v>0.99233954999999996</c:v>
                </c:pt>
                <c:pt idx="203">
                  <c:v>0.99909813000000003</c:v>
                </c:pt>
                <c:pt idx="204">
                  <c:v>1.0057459799999999</c:v>
                </c:pt>
                <c:pt idx="205">
                  <c:v>1.0125594</c:v>
                </c:pt>
                <c:pt idx="206">
                  <c:v>0.66478335</c:v>
                </c:pt>
                <c:pt idx="207">
                  <c:v>0.67079922999999997</c:v>
                </c:pt>
                <c:pt idx="208">
                  <c:v>1.0329968599999999</c:v>
                </c:pt>
                <c:pt idx="209">
                  <c:v>1.03989413</c:v>
                </c:pt>
                <c:pt idx="210">
                  <c:v>1.0467374700000001</c:v>
                </c:pt>
                <c:pt idx="211">
                  <c:v>1.0536640399999999</c:v>
                </c:pt>
                <c:pt idx="212">
                  <c:v>1.06053255</c:v>
                </c:pt>
                <c:pt idx="213">
                  <c:v>0.70772842000000002</c:v>
                </c:pt>
                <c:pt idx="214">
                  <c:v>0.71378816</c:v>
                </c:pt>
                <c:pt idx="215">
                  <c:v>1.0811873000000001</c:v>
                </c:pt>
                <c:pt idx="216">
                  <c:v>1.0881516499999999</c:v>
                </c:pt>
                <c:pt idx="217">
                  <c:v>1.09497844</c:v>
                </c:pt>
                <c:pt idx="218">
                  <c:v>1.1019442699999999</c:v>
                </c:pt>
                <c:pt idx="219">
                  <c:v>1.1087687900000001</c:v>
                </c:pt>
                <c:pt idx="220">
                  <c:v>0.75016930000000004</c:v>
                </c:pt>
                <c:pt idx="221">
                  <c:v>0.75600330000000004</c:v>
                </c:pt>
                <c:pt idx="222">
                  <c:v>1.1293510200000001</c:v>
                </c:pt>
                <c:pt idx="223">
                  <c:v>1.13614927</c:v>
                </c:pt>
                <c:pt idx="224">
                  <c:v>0.77370682000000002</c:v>
                </c:pt>
                <c:pt idx="225">
                  <c:v>1.1496417800000001</c:v>
                </c:pt>
                <c:pt idx="226">
                  <c:v>1.1564719699999999</c:v>
                </c:pt>
                <c:pt idx="227">
                  <c:v>0.79113323999999996</c:v>
                </c:pt>
                <c:pt idx="228">
                  <c:v>0.79647650999999997</c:v>
                </c:pt>
                <c:pt idx="229">
                  <c:v>1.1765133699999999</c:v>
                </c:pt>
                <c:pt idx="230">
                  <c:v>1.1830622</c:v>
                </c:pt>
                <c:pt idx="231">
                  <c:v>1.1896587700000001</c:v>
                </c:pt>
                <c:pt idx="232">
                  <c:v>1.19623203</c:v>
                </c:pt>
                <c:pt idx="233">
                  <c:v>1.2027109600000001</c:v>
                </c:pt>
                <c:pt idx="234">
                  <c:v>0.82923142000000005</c:v>
                </c:pt>
                <c:pt idx="235">
                  <c:v>0.83450000999999996</c:v>
                </c:pt>
                <c:pt idx="236">
                  <c:v>1.22191633</c:v>
                </c:pt>
                <c:pt idx="237">
                  <c:v>1.2282134199999999</c:v>
                </c:pt>
                <c:pt idx="238">
                  <c:v>1.2344792600000001</c:v>
                </c:pt>
                <c:pt idx="239">
                  <c:v>1.24064303</c:v>
                </c:pt>
                <c:pt idx="240">
                  <c:v>1.24684276</c:v>
                </c:pt>
                <c:pt idx="241">
                  <c:v>0.86423781</c:v>
                </c:pt>
                <c:pt idx="242">
                  <c:v>0.86872647999999997</c:v>
                </c:pt>
                <c:pt idx="243">
                  <c:v>1.26501975</c:v>
                </c:pt>
                <c:pt idx="244">
                  <c:v>1.2710039399999999</c:v>
                </c:pt>
                <c:pt idx="245">
                  <c:v>1.27687931</c:v>
                </c:pt>
                <c:pt idx="246">
                  <c:v>1.28271446</c:v>
                </c:pt>
                <c:pt idx="247">
                  <c:v>1.2884387399999999</c:v>
                </c:pt>
                <c:pt idx="248">
                  <c:v>0.89528441999999997</c:v>
                </c:pt>
                <c:pt idx="249">
                  <c:v>0.89964398999999995</c:v>
                </c:pt>
                <c:pt idx="250">
                  <c:v>1.3054238499999999</c:v>
                </c:pt>
                <c:pt idx="251">
                  <c:v>1.31090376</c:v>
                </c:pt>
                <c:pt idx="252">
                  <c:v>1.3163376200000001</c:v>
                </c:pt>
                <c:pt idx="253">
                  <c:v>1.3217245200000001</c:v>
                </c:pt>
                <c:pt idx="254">
                  <c:v>1.32706356</c:v>
                </c:pt>
                <c:pt idx="255">
                  <c:v>0.92288274999999997</c:v>
                </c:pt>
                <c:pt idx="256">
                  <c:v>0.92641572999999999</c:v>
                </c:pt>
                <c:pt idx="257">
                  <c:v>1.3426454699999999</c:v>
                </c:pt>
                <c:pt idx="258">
                  <c:v>1.3477146799999999</c:v>
                </c:pt>
                <c:pt idx="259">
                  <c:v>1.3527316899999999</c:v>
                </c:pt>
                <c:pt idx="260">
                  <c:v>1.35762603</c:v>
                </c:pt>
                <c:pt idx="261">
                  <c:v>1.3624664799999999</c:v>
                </c:pt>
                <c:pt idx="262">
                  <c:v>0.94643748000000005</c:v>
                </c:pt>
                <c:pt idx="263">
                  <c:v>0.94957480000000005</c:v>
                </c:pt>
                <c:pt idx="264">
                  <c:v>1.3766561100000001</c:v>
                </c:pt>
                <c:pt idx="265">
                  <c:v>1.3812726399999999</c:v>
                </c:pt>
                <c:pt idx="266">
                  <c:v>1.38576148</c:v>
                </c:pt>
                <c:pt idx="267">
                  <c:v>1.3901914200000001</c:v>
                </c:pt>
                <c:pt idx="268">
                  <c:v>0.96418970000000004</c:v>
                </c:pt>
                <c:pt idx="269">
                  <c:v>0.96694071000000004</c:v>
                </c:pt>
                <c:pt idx="270">
                  <c:v>0.96966353999999999</c:v>
                </c:pt>
                <c:pt idx="271">
                  <c:v>1.40723585</c:v>
                </c:pt>
                <c:pt idx="272">
                  <c:v>1.41128908</c:v>
                </c:pt>
                <c:pt idx="273">
                  <c:v>1.4152783600000001</c:v>
                </c:pt>
                <c:pt idx="274">
                  <c:v>1.4192724299999999</c:v>
                </c:pt>
                <c:pt idx="275">
                  <c:v>0.98171491</c:v>
                </c:pt>
                <c:pt idx="276">
                  <c:v>0.98403514000000003</c:v>
                </c:pt>
                <c:pt idx="277">
                  <c:v>0.98609915000000004</c:v>
                </c:pt>
                <c:pt idx="278">
                  <c:v>1.4341653400000001</c:v>
                </c:pt>
                <c:pt idx="279">
                  <c:v>1.43768294</c:v>
                </c:pt>
                <c:pt idx="280">
                  <c:v>1.44120005</c:v>
                </c:pt>
                <c:pt idx="281">
                  <c:v>1.44457652</c:v>
                </c:pt>
                <c:pt idx="282">
                  <c:v>1.44788107</c:v>
                </c:pt>
                <c:pt idx="283">
                  <c:v>0.99826088999999996</c:v>
                </c:pt>
                <c:pt idx="284">
                  <c:v>1.0000967300000001</c:v>
                </c:pt>
                <c:pt idx="285">
                  <c:v>1.45728437</c:v>
                </c:pt>
                <c:pt idx="286">
                  <c:v>1.4602919999999999</c:v>
                </c:pt>
                <c:pt idx="287">
                  <c:v>1.46315347</c:v>
                </c:pt>
                <c:pt idx="288">
                  <c:v>1.46593745</c:v>
                </c:pt>
                <c:pt idx="289">
                  <c:v>1.46864298</c:v>
                </c:pt>
                <c:pt idx="290">
                  <c:v>1.00902534</c:v>
                </c:pt>
                <c:pt idx="291">
                  <c:v>1.01038695</c:v>
                </c:pt>
                <c:pt idx="292">
                  <c:v>1.4762099399999999</c:v>
                </c:pt>
                <c:pt idx="293">
                  <c:v>1.4785923000000001</c:v>
                </c:pt>
                <c:pt idx="294">
                  <c:v>1.4808915</c:v>
                </c:pt>
                <c:pt idx="295">
                  <c:v>1.4830369999999999</c:v>
                </c:pt>
                <c:pt idx="296">
                  <c:v>1.4850278400000001</c:v>
                </c:pt>
                <c:pt idx="297">
                  <c:v>1.01685724</c:v>
                </c:pt>
                <c:pt idx="298">
                  <c:v>1.01749819</c:v>
                </c:pt>
                <c:pt idx="299">
                  <c:v>1.49062016</c:v>
                </c:pt>
                <c:pt idx="300">
                  <c:v>1.4922616500000001</c:v>
                </c:pt>
                <c:pt idx="301">
                  <c:v>1.4938135299999999</c:v>
                </c:pt>
                <c:pt idx="302">
                  <c:v>1.49527492</c:v>
                </c:pt>
                <c:pt idx="303">
                  <c:v>1.4966449500000001</c:v>
                </c:pt>
                <c:pt idx="304">
                  <c:v>1.0204833600000001</c:v>
                </c:pt>
                <c:pt idx="305">
                  <c:v>1.02060843</c:v>
                </c:pt>
                <c:pt idx="306">
                  <c:v>1.50005915</c:v>
                </c:pt>
                <c:pt idx="307">
                  <c:v>1.5009161</c:v>
                </c:pt>
                <c:pt idx="308">
                  <c:v>1.50167758</c:v>
                </c:pt>
                <c:pt idx="309">
                  <c:v>1.5024124599999999</c:v>
                </c:pt>
                <c:pt idx="310">
                  <c:v>1.50298076</c:v>
                </c:pt>
                <c:pt idx="311">
                  <c:v>1.01976578</c:v>
                </c:pt>
                <c:pt idx="312">
                  <c:v>1.0193566300000001</c:v>
                </c:pt>
                <c:pt idx="313">
                  <c:v>1.50402737</c:v>
                </c:pt>
                <c:pt idx="314">
                  <c:v>1.50413142</c:v>
                </c:pt>
                <c:pt idx="315">
                  <c:v>1.5041352800000001</c:v>
                </c:pt>
                <c:pt idx="316">
                  <c:v>1.5039687500000001</c:v>
                </c:pt>
                <c:pt idx="317">
                  <c:v>1.50370095</c:v>
                </c:pt>
                <c:pt idx="318">
                  <c:v>1.0141360699999999</c:v>
                </c:pt>
                <c:pt idx="319">
                  <c:v>1.01250237</c:v>
                </c:pt>
                <c:pt idx="320">
                  <c:v>1.5022156499999999</c:v>
                </c:pt>
                <c:pt idx="321">
                  <c:v>1.5015383099999999</c:v>
                </c:pt>
                <c:pt idx="322">
                  <c:v>1.50054884</c:v>
                </c:pt>
                <c:pt idx="323">
                  <c:v>1.4995950499999999</c:v>
                </c:pt>
                <c:pt idx="324">
                  <c:v>1.49853747</c:v>
                </c:pt>
                <c:pt idx="325">
                  <c:v>1.0026073900000001</c:v>
                </c:pt>
                <c:pt idx="326">
                  <c:v>1.0006413199999999</c:v>
                </c:pt>
                <c:pt idx="327">
                  <c:v>1.4943922999999999</c:v>
                </c:pt>
                <c:pt idx="328">
                  <c:v>1.49277898</c:v>
                </c:pt>
                <c:pt idx="329">
                  <c:v>1.49106144</c:v>
                </c:pt>
                <c:pt idx="330">
                  <c:v>1.48917013</c:v>
                </c:pt>
                <c:pt idx="331">
                  <c:v>1.4872444</c:v>
                </c:pt>
                <c:pt idx="332">
                  <c:v>0.98603878</c:v>
                </c:pt>
                <c:pt idx="333">
                  <c:v>0.98328791999999998</c:v>
                </c:pt>
                <c:pt idx="334">
                  <c:v>1.4805664999999999</c:v>
                </c:pt>
                <c:pt idx="335">
                  <c:v>1.4781572599999999</c:v>
                </c:pt>
                <c:pt idx="336">
                  <c:v>1.4755757599999999</c:v>
                </c:pt>
                <c:pt idx="337">
                  <c:v>1.4728224400000001</c:v>
                </c:pt>
                <c:pt idx="338">
                  <c:v>1.47003705</c:v>
                </c:pt>
                <c:pt idx="339">
                  <c:v>0.96421595000000004</c:v>
                </c:pt>
                <c:pt idx="340">
                  <c:v>0.96091188000000005</c:v>
                </c:pt>
                <c:pt idx="341">
                  <c:v>1.4609372700000001</c:v>
                </c:pt>
                <c:pt idx="342">
                  <c:v>1.45761195</c:v>
                </c:pt>
                <c:pt idx="343">
                  <c:v>1.4542578900000001</c:v>
                </c:pt>
                <c:pt idx="344">
                  <c:v>1.4507366799999999</c:v>
                </c:pt>
                <c:pt idx="345">
                  <c:v>1.4471884399999999</c:v>
                </c:pt>
                <c:pt idx="346">
                  <c:v>0.93788477000000003</c:v>
                </c:pt>
                <c:pt idx="347">
                  <c:v>0.93404246999999996</c:v>
                </c:pt>
                <c:pt idx="348">
                  <c:v>1.43569506</c:v>
                </c:pt>
                <c:pt idx="349">
                  <c:v>1.4317005700000001</c:v>
                </c:pt>
                <c:pt idx="350">
                  <c:v>1.42768429</c:v>
                </c:pt>
                <c:pt idx="351">
                  <c:v>1.4234385700000001</c:v>
                </c:pt>
                <c:pt idx="352">
                  <c:v>1.4191735000000001</c:v>
                </c:pt>
                <c:pt idx="353">
                  <c:v>0.90830233000000005</c:v>
                </c:pt>
                <c:pt idx="354">
                  <c:v>0.90372001999999996</c:v>
                </c:pt>
                <c:pt idx="355">
                  <c:v>1.4057185800000001</c:v>
                </c:pt>
                <c:pt idx="356">
                  <c:v>1.40104154</c:v>
                </c:pt>
                <c:pt idx="357">
                  <c:v>1.3962825000000001</c:v>
                </c:pt>
                <c:pt idx="358">
                  <c:v>1.3914429800000001</c:v>
                </c:pt>
                <c:pt idx="359">
                  <c:v>1.38659416</c:v>
                </c:pt>
                <c:pt idx="360">
                  <c:v>0.87588213000000004</c:v>
                </c:pt>
                <c:pt idx="361">
                  <c:v>0.87126683000000005</c:v>
                </c:pt>
                <c:pt idx="362">
                  <c:v>1.3714511599999999</c:v>
                </c:pt>
                <c:pt idx="363">
                  <c:v>1.36630304</c:v>
                </c:pt>
              </c:numCache>
            </c:numRef>
          </c:val>
          <c:smooth val="0"/>
          <c:extLst>
            <c:ext xmlns:c16="http://schemas.microsoft.com/office/drawing/2014/chart" uri="{C3380CC4-5D6E-409C-BE32-E72D297353CC}">
              <c16:uniqueId val="{00000000-CECD-448A-9964-4E088FCDD2E9}"/>
            </c:ext>
          </c:extLst>
        </c:ser>
        <c:dLbls>
          <c:showLegendKey val="0"/>
          <c:showVal val="0"/>
          <c:showCatName val="0"/>
          <c:showSerName val="0"/>
          <c:showPercent val="0"/>
          <c:showBubbleSize val="0"/>
        </c:dLbls>
        <c:smooth val="0"/>
        <c:axId val="570473375"/>
        <c:axId val="1"/>
      </c:lineChart>
      <c:dateAx>
        <c:axId val="570473375"/>
        <c:scaling>
          <c:orientation val="minMax"/>
        </c:scaling>
        <c:delete val="0"/>
        <c:axPos val="b"/>
        <c:numFmt formatCode="m/d/yyyy" sourceLinked="0"/>
        <c:majorTickMark val="out"/>
        <c:minorTickMark val="none"/>
        <c:tickLblPos val="nextTo"/>
        <c:txPr>
          <a:bodyPr rot="-5400000" vert="horz"/>
          <a:lstStyle/>
          <a:p>
            <a:pPr>
              <a:defRPr/>
            </a:pPr>
            <a:endParaRPr lang="fr-FR"/>
          </a:p>
        </c:txPr>
        <c:crossAx val="1"/>
        <c:crosses val="autoZero"/>
        <c:auto val="1"/>
        <c:lblOffset val="100"/>
        <c:baseTimeUnit val="days"/>
      </c:dateAx>
      <c:valAx>
        <c:axId val="1"/>
        <c:scaling>
          <c:orientation val="minMax"/>
          <c:max val="2.5"/>
        </c:scaling>
        <c:delete val="0"/>
        <c:axPos val="l"/>
        <c:majorGridlines/>
        <c:numFmt formatCode="0.0" sourceLinked="0"/>
        <c:majorTickMark val="out"/>
        <c:minorTickMark val="none"/>
        <c:tickLblPos val="nextTo"/>
        <c:crossAx val="570473375"/>
        <c:crosses val="autoZero"/>
        <c:crossBetween val="between"/>
        <c:majorUnit val="0.5"/>
        <c:minorUnit val="0.1"/>
      </c:valAx>
    </c:plotArea>
    <c:plotVisOnly val="1"/>
    <c:dispBlanksAs val="gap"/>
    <c:showDLblsOverMax val="0"/>
  </c:chart>
  <c:printSettings>
    <c:headerFooter/>
    <c:pageMargins b="0.75000000000000366" l="0.70000000000000062" r="0.70000000000000062" t="0.75000000000000366"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Profils!$I$1</c:f>
              <c:strCache>
                <c:ptCount val="1"/>
                <c:pt idx="0">
                  <c:v>P016</c:v>
                </c:pt>
              </c:strCache>
            </c:strRef>
          </c:tx>
          <c:spPr>
            <a:ln w="19050"/>
          </c:spPr>
          <c:marker>
            <c:symbol val="none"/>
          </c:marker>
          <c:cat>
            <c:numRef>
              <c:f>Profils!$B$2:$B$365</c:f>
              <c:numCache>
                <c:formatCode>m/d/yyyy</c:formatCode>
                <c:ptCount val="364"/>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pt idx="31">
                  <c:v>46144</c:v>
                </c:pt>
                <c:pt idx="32">
                  <c:v>46145</c:v>
                </c:pt>
                <c:pt idx="33">
                  <c:v>46146</c:v>
                </c:pt>
                <c:pt idx="34">
                  <c:v>46147</c:v>
                </c:pt>
                <c:pt idx="35">
                  <c:v>46148</c:v>
                </c:pt>
                <c:pt idx="36">
                  <c:v>46149</c:v>
                </c:pt>
                <c:pt idx="37">
                  <c:v>46150</c:v>
                </c:pt>
                <c:pt idx="38">
                  <c:v>46151</c:v>
                </c:pt>
                <c:pt idx="39">
                  <c:v>46152</c:v>
                </c:pt>
                <c:pt idx="40">
                  <c:v>46153</c:v>
                </c:pt>
                <c:pt idx="41">
                  <c:v>46154</c:v>
                </c:pt>
                <c:pt idx="42">
                  <c:v>46155</c:v>
                </c:pt>
                <c:pt idx="43">
                  <c:v>46156</c:v>
                </c:pt>
                <c:pt idx="44">
                  <c:v>46157</c:v>
                </c:pt>
                <c:pt idx="45">
                  <c:v>46158</c:v>
                </c:pt>
                <c:pt idx="46">
                  <c:v>46159</c:v>
                </c:pt>
                <c:pt idx="47">
                  <c:v>46160</c:v>
                </c:pt>
                <c:pt idx="48">
                  <c:v>46161</c:v>
                </c:pt>
                <c:pt idx="49">
                  <c:v>46162</c:v>
                </c:pt>
                <c:pt idx="50">
                  <c:v>46163</c:v>
                </c:pt>
                <c:pt idx="51">
                  <c:v>46164</c:v>
                </c:pt>
                <c:pt idx="52">
                  <c:v>46165</c:v>
                </c:pt>
                <c:pt idx="53">
                  <c:v>46166</c:v>
                </c:pt>
                <c:pt idx="54">
                  <c:v>46167</c:v>
                </c:pt>
                <c:pt idx="55">
                  <c:v>46168</c:v>
                </c:pt>
                <c:pt idx="56">
                  <c:v>46169</c:v>
                </c:pt>
                <c:pt idx="57">
                  <c:v>46170</c:v>
                </c:pt>
                <c:pt idx="58">
                  <c:v>46171</c:v>
                </c:pt>
                <c:pt idx="59">
                  <c:v>46172</c:v>
                </c:pt>
                <c:pt idx="60">
                  <c:v>46173</c:v>
                </c:pt>
                <c:pt idx="61">
                  <c:v>46174</c:v>
                </c:pt>
                <c:pt idx="62">
                  <c:v>46175</c:v>
                </c:pt>
                <c:pt idx="63">
                  <c:v>46176</c:v>
                </c:pt>
                <c:pt idx="64">
                  <c:v>46177</c:v>
                </c:pt>
                <c:pt idx="65">
                  <c:v>46178</c:v>
                </c:pt>
                <c:pt idx="66">
                  <c:v>46179</c:v>
                </c:pt>
                <c:pt idx="67">
                  <c:v>46180</c:v>
                </c:pt>
                <c:pt idx="68">
                  <c:v>46181</c:v>
                </c:pt>
                <c:pt idx="69">
                  <c:v>46182</c:v>
                </c:pt>
                <c:pt idx="70">
                  <c:v>46183</c:v>
                </c:pt>
                <c:pt idx="71">
                  <c:v>46184</c:v>
                </c:pt>
                <c:pt idx="72">
                  <c:v>46185</c:v>
                </c:pt>
                <c:pt idx="73">
                  <c:v>46186</c:v>
                </c:pt>
                <c:pt idx="74">
                  <c:v>46187</c:v>
                </c:pt>
                <c:pt idx="75">
                  <c:v>46188</c:v>
                </c:pt>
                <c:pt idx="76">
                  <c:v>46189</c:v>
                </c:pt>
                <c:pt idx="77">
                  <c:v>46190</c:v>
                </c:pt>
                <c:pt idx="78">
                  <c:v>46191</c:v>
                </c:pt>
                <c:pt idx="79">
                  <c:v>46192</c:v>
                </c:pt>
                <c:pt idx="80">
                  <c:v>46193</c:v>
                </c:pt>
                <c:pt idx="81">
                  <c:v>46194</c:v>
                </c:pt>
                <c:pt idx="82">
                  <c:v>46195</c:v>
                </c:pt>
                <c:pt idx="83">
                  <c:v>46196</c:v>
                </c:pt>
                <c:pt idx="84">
                  <c:v>46197</c:v>
                </c:pt>
                <c:pt idx="85">
                  <c:v>46198</c:v>
                </c:pt>
                <c:pt idx="86">
                  <c:v>46199</c:v>
                </c:pt>
                <c:pt idx="87">
                  <c:v>46200</c:v>
                </c:pt>
                <c:pt idx="88">
                  <c:v>46201</c:v>
                </c:pt>
                <c:pt idx="89">
                  <c:v>46202</c:v>
                </c:pt>
                <c:pt idx="90">
                  <c:v>46203</c:v>
                </c:pt>
                <c:pt idx="91">
                  <c:v>46204</c:v>
                </c:pt>
                <c:pt idx="92">
                  <c:v>46205</c:v>
                </c:pt>
                <c:pt idx="93">
                  <c:v>46206</c:v>
                </c:pt>
                <c:pt idx="94">
                  <c:v>46207</c:v>
                </c:pt>
                <c:pt idx="95">
                  <c:v>46208</c:v>
                </c:pt>
                <c:pt idx="96">
                  <c:v>46209</c:v>
                </c:pt>
                <c:pt idx="97">
                  <c:v>46210</c:v>
                </c:pt>
                <c:pt idx="98">
                  <c:v>46211</c:v>
                </c:pt>
                <c:pt idx="99">
                  <c:v>46212</c:v>
                </c:pt>
                <c:pt idx="100">
                  <c:v>46213</c:v>
                </c:pt>
                <c:pt idx="101">
                  <c:v>46214</c:v>
                </c:pt>
                <c:pt idx="102">
                  <c:v>46215</c:v>
                </c:pt>
                <c:pt idx="103">
                  <c:v>46216</c:v>
                </c:pt>
                <c:pt idx="104">
                  <c:v>46217</c:v>
                </c:pt>
                <c:pt idx="105">
                  <c:v>46218</c:v>
                </c:pt>
                <c:pt idx="106">
                  <c:v>46219</c:v>
                </c:pt>
                <c:pt idx="107">
                  <c:v>46220</c:v>
                </c:pt>
                <c:pt idx="108">
                  <c:v>46221</c:v>
                </c:pt>
                <c:pt idx="109">
                  <c:v>46222</c:v>
                </c:pt>
                <c:pt idx="110">
                  <c:v>46223</c:v>
                </c:pt>
                <c:pt idx="111">
                  <c:v>46224</c:v>
                </c:pt>
                <c:pt idx="112">
                  <c:v>46225</c:v>
                </c:pt>
                <c:pt idx="113">
                  <c:v>46226</c:v>
                </c:pt>
                <c:pt idx="114">
                  <c:v>46227</c:v>
                </c:pt>
                <c:pt idx="115">
                  <c:v>46228</c:v>
                </c:pt>
                <c:pt idx="116">
                  <c:v>46229</c:v>
                </c:pt>
                <c:pt idx="117">
                  <c:v>46230</c:v>
                </c:pt>
                <c:pt idx="118">
                  <c:v>46231</c:v>
                </c:pt>
                <c:pt idx="119">
                  <c:v>46232</c:v>
                </c:pt>
                <c:pt idx="120">
                  <c:v>46233</c:v>
                </c:pt>
                <c:pt idx="121">
                  <c:v>46234</c:v>
                </c:pt>
                <c:pt idx="122">
                  <c:v>46235</c:v>
                </c:pt>
                <c:pt idx="123">
                  <c:v>46236</c:v>
                </c:pt>
                <c:pt idx="124">
                  <c:v>46237</c:v>
                </c:pt>
                <c:pt idx="125">
                  <c:v>46238</c:v>
                </c:pt>
                <c:pt idx="126">
                  <c:v>46239</c:v>
                </c:pt>
                <c:pt idx="127">
                  <c:v>46240</c:v>
                </c:pt>
                <c:pt idx="128">
                  <c:v>46241</c:v>
                </c:pt>
                <c:pt idx="129">
                  <c:v>46242</c:v>
                </c:pt>
                <c:pt idx="130">
                  <c:v>46243</c:v>
                </c:pt>
                <c:pt idx="131">
                  <c:v>46244</c:v>
                </c:pt>
                <c:pt idx="132">
                  <c:v>46245</c:v>
                </c:pt>
                <c:pt idx="133">
                  <c:v>46246</c:v>
                </c:pt>
                <c:pt idx="134">
                  <c:v>46247</c:v>
                </c:pt>
                <c:pt idx="135">
                  <c:v>46248</c:v>
                </c:pt>
                <c:pt idx="136">
                  <c:v>46249</c:v>
                </c:pt>
                <c:pt idx="137">
                  <c:v>46250</c:v>
                </c:pt>
                <c:pt idx="138">
                  <c:v>46251</c:v>
                </c:pt>
                <c:pt idx="139">
                  <c:v>46252</c:v>
                </c:pt>
                <c:pt idx="140">
                  <c:v>46253</c:v>
                </c:pt>
                <c:pt idx="141">
                  <c:v>46254</c:v>
                </c:pt>
                <c:pt idx="142">
                  <c:v>46255</c:v>
                </c:pt>
                <c:pt idx="143">
                  <c:v>46256</c:v>
                </c:pt>
                <c:pt idx="144">
                  <c:v>46257</c:v>
                </c:pt>
                <c:pt idx="145">
                  <c:v>46258</c:v>
                </c:pt>
                <c:pt idx="146">
                  <c:v>46259</c:v>
                </c:pt>
                <c:pt idx="147">
                  <c:v>46260</c:v>
                </c:pt>
                <c:pt idx="148">
                  <c:v>46261</c:v>
                </c:pt>
                <c:pt idx="149">
                  <c:v>46262</c:v>
                </c:pt>
                <c:pt idx="150">
                  <c:v>46263</c:v>
                </c:pt>
                <c:pt idx="151">
                  <c:v>46264</c:v>
                </c:pt>
                <c:pt idx="152">
                  <c:v>46265</c:v>
                </c:pt>
                <c:pt idx="153">
                  <c:v>46266</c:v>
                </c:pt>
                <c:pt idx="154">
                  <c:v>46267</c:v>
                </c:pt>
                <c:pt idx="155">
                  <c:v>46268</c:v>
                </c:pt>
                <c:pt idx="156">
                  <c:v>46269</c:v>
                </c:pt>
                <c:pt idx="157">
                  <c:v>46270</c:v>
                </c:pt>
                <c:pt idx="158">
                  <c:v>46271</c:v>
                </c:pt>
                <c:pt idx="159">
                  <c:v>46272</c:v>
                </c:pt>
                <c:pt idx="160">
                  <c:v>46273</c:v>
                </c:pt>
                <c:pt idx="161">
                  <c:v>46274</c:v>
                </c:pt>
                <c:pt idx="162">
                  <c:v>46275</c:v>
                </c:pt>
                <c:pt idx="163">
                  <c:v>46276</c:v>
                </c:pt>
                <c:pt idx="164">
                  <c:v>46277</c:v>
                </c:pt>
                <c:pt idx="165">
                  <c:v>46278</c:v>
                </c:pt>
                <c:pt idx="166">
                  <c:v>46279</c:v>
                </c:pt>
                <c:pt idx="167">
                  <c:v>46280</c:v>
                </c:pt>
                <c:pt idx="168">
                  <c:v>46281</c:v>
                </c:pt>
                <c:pt idx="169">
                  <c:v>46282</c:v>
                </c:pt>
                <c:pt idx="170">
                  <c:v>46283</c:v>
                </c:pt>
                <c:pt idx="171">
                  <c:v>46284</c:v>
                </c:pt>
                <c:pt idx="172">
                  <c:v>46285</c:v>
                </c:pt>
                <c:pt idx="173">
                  <c:v>46286</c:v>
                </c:pt>
                <c:pt idx="174">
                  <c:v>46287</c:v>
                </c:pt>
                <c:pt idx="175">
                  <c:v>46288</c:v>
                </c:pt>
                <c:pt idx="176">
                  <c:v>46289</c:v>
                </c:pt>
                <c:pt idx="177">
                  <c:v>46290</c:v>
                </c:pt>
                <c:pt idx="178">
                  <c:v>46291</c:v>
                </c:pt>
                <c:pt idx="179">
                  <c:v>46292</c:v>
                </c:pt>
                <c:pt idx="180">
                  <c:v>46293</c:v>
                </c:pt>
                <c:pt idx="181">
                  <c:v>46294</c:v>
                </c:pt>
                <c:pt idx="182">
                  <c:v>46295</c:v>
                </c:pt>
                <c:pt idx="183">
                  <c:v>46296</c:v>
                </c:pt>
                <c:pt idx="184">
                  <c:v>46297</c:v>
                </c:pt>
                <c:pt idx="185">
                  <c:v>46298</c:v>
                </c:pt>
                <c:pt idx="186">
                  <c:v>46299</c:v>
                </c:pt>
                <c:pt idx="187">
                  <c:v>46300</c:v>
                </c:pt>
                <c:pt idx="188">
                  <c:v>46301</c:v>
                </c:pt>
                <c:pt idx="189">
                  <c:v>46302</c:v>
                </c:pt>
                <c:pt idx="190">
                  <c:v>46303</c:v>
                </c:pt>
                <c:pt idx="191">
                  <c:v>46304</c:v>
                </c:pt>
                <c:pt idx="192">
                  <c:v>46305</c:v>
                </c:pt>
                <c:pt idx="193">
                  <c:v>46306</c:v>
                </c:pt>
                <c:pt idx="194">
                  <c:v>46307</c:v>
                </c:pt>
                <c:pt idx="195">
                  <c:v>46308</c:v>
                </c:pt>
                <c:pt idx="196">
                  <c:v>46309</c:v>
                </c:pt>
                <c:pt idx="197">
                  <c:v>46310</c:v>
                </c:pt>
                <c:pt idx="198">
                  <c:v>46311</c:v>
                </c:pt>
                <c:pt idx="199">
                  <c:v>46312</c:v>
                </c:pt>
                <c:pt idx="200">
                  <c:v>46313</c:v>
                </c:pt>
                <c:pt idx="201">
                  <c:v>46314</c:v>
                </c:pt>
                <c:pt idx="202">
                  <c:v>46315</c:v>
                </c:pt>
                <c:pt idx="203">
                  <c:v>46316</c:v>
                </c:pt>
                <c:pt idx="204">
                  <c:v>46317</c:v>
                </c:pt>
                <c:pt idx="205">
                  <c:v>46318</c:v>
                </c:pt>
                <c:pt idx="206">
                  <c:v>46319</c:v>
                </c:pt>
                <c:pt idx="207">
                  <c:v>46320</c:v>
                </c:pt>
                <c:pt idx="208">
                  <c:v>46321</c:v>
                </c:pt>
                <c:pt idx="209">
                  <c:v>46322</c:v>
                </c:pt>
                <c:pt idx="210">
                  <c:v>46323</c:v>
                </c:pt>
                <c:pt idx="211">
                  <c:v>46324</c:v>
                </c:pt>
                <c:pt idx="212">
                  <c:v>46325</c:v>
                </c:pt>
                <c:pt idx="213">
                  <c:v>46326</c:v>
                </c:pt>
                <c:pt idx="214">
                  <c:v>46327</c:v>
                </c:pt>
                <c:pt idx="215">
                  <c:v>46328</c:v>
                </c:pt>
                <c:pt idx="216">
                  <c:v>46329</c:v>
                </c:pt>
                <c:pt idx="217">
                  <c:v>46330</c:v>
                </c:pt>
                <c:pt idx="218">
                  <c:v>46331</c:v>
                </c:pt>
                <c:pt idx="219">
                  <c:v>46332</c:v>
                </c:pt>
                <c:pt idx="220">
                  <c:v>46333</c:v>
                </c:pt>
                <c:pt idx="221">
                  <c:v>46334</c:v>
                </c:pt>
                <c:pt idx="222">
                  <c:v>46335</c:v>
                </c:pt>
                <c:pt idx="223">
                  <c:v>46336</c:v>
                </c:pt>
                <c:pt idx="224">
                  <c:v>46337</c:v>
                </c:pt>
                <c:pt idx="225">
                  <c:v>46338</c:v>
                </c:pt>
                <c:pt idx="226">
                  <c:v>46339</c:v>
                </c:pt>
                <c:pt idx="227">
                  <c:v>46340</c:v>
                </c:pt>
                <c:pt idx="228">
                  <c:v>46341</c:v>
                </c:pt>
                <c:pt idx="229">
                  <c:v>46342</c:v>
                </c:pt>
                <c:pt idx="230">
                  <c:v>46343</c:v>
                </c:pt>
                <c:pt idx="231">
                  <c:v>46344</c:v>
                </c:pt>
                <c:pt idx="232">
                  <c:v>46345</c:v>
                </c:pt>
                <c:pt idx="233">
                  <c:v>46346</c:v>
                </c:pt>
                <c:pt idx="234">
                  <c:v>46347</c:v>
                </c:pt>
                <c:pt idx="235">
                  <c:v>46348</c:v>
                </c:pt>
                <c:pt idx="236">
                  <c:v>46349</c:v>
                </c:pt>
                <c:pt idx="237">
                  <c:v>46350</c:v>
                </c:pt>
                <c:pt idx="238">
                  <c:v>46351</c:v>
                </c:pt>
                <c:pt idx="239">
                  <c:v>46352</c:v>
                </c:pt>
                <c:pt idx="240">
                  <c:v>46353</c:v>
                </c:pt>
                <c:pt idx="241">
                  <c:v>46354</c:v>
                </c:pt>
                <c:pt idx="242">
                  <c:v>46355</c:v>
                </c:pt>
                <c:pt idx="243">
                  <c:v>46356</c:v>
                </c:pt>
                <c:pt idx="244">
                  <c:v>46357</c:v>
                </c:pt>
                <c:pt idx="245">
                  <c:v>46358</c:v>
                </c:pt>
                <c:pt idx="246">
                  <c:v>46359</c:v>
                </c:pt>
                <c:pt idx="247">
                  <c:v>46360</c:v>
                </c:pt>
                <c:pt idx="248">
                  <c:v>46361</c:v>
                </c:pt>
                <c:pt idx="249">
                  <c:v>46362</c:v>
                </c:pt>
                <c:pt idx="250">
                  <c:v>46363</c:v>
                </c:pt>
                <c:pt idx="251">
                  <c:v>46364</c:v>
                </c:pt>
                <c:pt idx="252">
                  <c:v>46365</c:v>
                </c:pt>
                <c:pt idx="253">
                  <c:v>46366</c:v>
                </c:pt>
                <c:pt idx="254">
                  <c:v>46367</c:v>
                </c:pt>
                <c:pt idx="255">
                  <c:v>46368</c:v>
                </c:pt>
                <c:pt idx="256">
                  <c:v>46369</c:v>
                </c:pt>
                <c:pt idx="257">
                  <c:v>46370</c:v>
                </c:pt>
                <c:pt idx="258">
                  <c:v>46371</c:v>
                </c:pt>
                <c:pt idx="259">
                  <c:v>46372</c:v>
                </c:pt>
                <c:pt idx="260">
                  <c:v>46373</c:v>
                </c:pt>
                <c:pt idx="261">
                  <c:v>46374</c:v>
                </c:pt>
                <c:pt idx="262">
                  <c:v>46375</c:v>
                </c:pt>
                <c:pt idx="263">
                  <c:v>46376</c:v>
                </c:pt>
                <c:pt idx="264">
                  <c:v>46377</c:v>
                </c:pt>
                <c:pt idx="265">
                  <c:v>46378</c:v>
                </c:pt>
                <c:pt idx="266">
                  <c:v>46379</c:v>
                </c:pt>
                <c:pt idx="267">
                  <c:v>46380</c:v>
                </c:pt>
                <c:pt idx="268">
                  <c:v>46381</c:v>
                </c:pt>
                <c:pt idx="269">
                  <c:v>46382</c:v>
                </c:pt>
                <c:pt idx="270">
                  <c:v>46383</c:v>
                </c:pt>
                <c:pt idx="271">
                  <c:v>46384</c:v>
                </c:pt>
                <c:pt idx="272">
                  <c:v>46385</c:v>
                </c:pt>
                <c:pt idx="273">
                  <c:v>46386</c:v>
                </c:pt>
                <c:pt idx="274">
                  <c:v>46387</c:v>
                </c:pt>
                <c:pt idx="275">
                  <c:v>46388</c:v>
                </c:pt>
                <c:pt idx="276">
                  <c:v>46389</c:v>
                </c:pt>
                <c:pt idx="277">
                  <c:v>46390</c:v>
                </c:pt>
                <c:pt idx="278">
                  <c:v>46391</c:v>
                </c:pt>
                <c:pt idx="279">
                  <c:v>46392</c:v>
                </c:pt>
                <c:pt idx="280">
                  <c:v>46393</c:v>
                </c:pt>
                <c:pt idx="281">
                  <c:v>46394</c:v>
                </c:pt>
                <c:pt idx="282">
                  <c:v>46395</c:v>
                </c:pt>
                <c:pt idx="283">
                  <c:v>46396</c:v>
                </c:pt>
                <c:pt idx="284">
                  <c:v>46397</c:v>
                </c:pt>
                <c:pt idx="285">
                  <c:v>46398</c:v>
                </c:pt>
                <c:pt idx="286">
                  <c:v>46399</c:v>
                </c:pt>
                <c:pt idx="287">
                  <c:v>46400</c:v>
                </c:pt>
                <c:pt idx="288">
                  <c:v>46401</c:v>
                </c:pt>
                <c:pt idx="289">
                  <c:v>46402</c:v>
                </c:pt>
                <c:pt idx="290">
                  <c:v>46403</c:v>
                </c:pt>
                <c:pt idx="291">
                  <c:v>46404</c:v>
                </c:pt>
                <c:pt idx="292">
                  <c:v>46405</c:v>
                </c:pt>
                <c:pt idx="293">
                  <c:v>46406</c:v>
                </c:pt>
                <c:pt idx="294">
                  <c:v>46407</c:v>
                </c:pt>
                <c:pt idx="295">
                  <c:v>46408</c:v>
                </c:pt>
                <c:pt idx="296">
                  <c:v>46409</c:v>
                </c:pt>
                <c:pt idx="297">
                  <c:v>46410</c:v>
                </c:pt>
                <c:pt idx="298">
                  <c:v>46411</c:v>
                </c:pt>
                <c:pt idx="299">
                  <c:v>46412</c:v>
                </c:pt>
                <c:pt idx="300">
                  <c:v>46413</c:v>
                </c:pt>
                <c:pt idx="301">
                  <c:v>46414</c:v>
                </c:pt>
                <c:pt idx="302">
                  <c:v>46415</c:v>
                </c:pt>
                <c:pt idx="303">
                  <c:v>46416</c:v>
                </c:pt>
                <c:pt idx="304">
                  <c:v>46417</c:v>
                </c:pt>
                <c:pt idx="305">
                  <c:v>46418</c:v>
                </c:pt>
                <c:pt idx="306">
                  <c:v>46419</c:v>
                </c:pt>
                <c:pt idx="307">
                  <c:v>46420</c:v>
                </c:pt>
                <c:pt idx="308">
                  <c:v>46421</c:v>
                </c:pt>
                <c:pt idx="309">
                  <c:v>46422</c:v>
                </c:pt>
                <c:pt idx="310">
                  <c:v>46423</c:v>
                </c:pt>
                <c:pt idx="311">
                  <c:v>46424</c:v>
                </c:pt>
                <c:pt idx="312">
                  <c:v>46425</c:v>
                </c:pt>
                <c:pt idx="313">
                  <c:v>46426</c:v>
                </c:pt>
                <c:pt idx="314">
                  <c:v>46427</c:v>
                </c:pt>
                <c:pt idx="315">
                  <c:v>46428</c:v>
                </c:pt>
                <c:pt idx="316">
                  <c:v>46429</c:v>
                </c:pt>
                <c:pt idx="317">
                  <c:v>46430</c:v>
                </c:pt>
                <c:pt idx="318">
                  <c:v>46431</c:v>
                </c:pt>
                <c:pt idx="319">
                  <c:v>46432</c:v>
                </c:pt>
                <c:pt idx="320">
                  <c:v>46433</c:v>
                </c:pt>
                <c:pt idx="321">
                  <c:v>46434</c:v>
                </c:pt>
                <c:pt idx="322">
                  <c:v>46435</c:v>
                </c:pt>
                <c:pt idx="323">
                  <c:v>46436</c:v>
                </c:pt>
                <c:pt idx="324">
                  <c:v>46437</c:v>
                </c:pt>
                <c:pt idx="325">
                  <c:v>46438</c:v>
                </c:pt>
                <c:pt idx="326">
                  <c:v>46439</c:v>
                </c:pt>
                <c:pt idx="327">
                  <c:v>46440</c:v>
                </c:pt>
                <c:pt idx="328">
                  <c:v>46441</c:v>
                </c:pt>
                <c:pt idx="329">
                  <c:v>46442</c:v>
                </c:pt>
                <c:pt idx="330">
                  <c:v>46443</c:v>
                </c:pt>
                <c:pt idx="331">
                  <c:v>46444</c:v>
                </c:pt>
                <c:pt idx="332">
                  <c:v>46445</c:v>
                </c:pt>
                <c:pt idx="333">
                  <c:v>46446</c:v>
                </c:pt>
                <c:pt idx="334">
                  <c:v>46447</c:v>
                </c:pt>
                <c:pt idx="335">
                  <c:v>46448</c:v>
                </c:pt>
                <c:pt idx="336">
                  <c:v>46449</c:v>
                </c:pt>
                <c:pt idx="337">
                  <c:v>46450</c:v>
                </c:pt>
                <c:pt idx="338">
                  <c:v>46451</c:v>
                </c:pt>
                <c:pt idx="339">
                  <c:v>46452</c:v>
                </c:pt>
                <c:pt idx="340">
                  <c:v>46453</c:v>
                </c:pt>
                <c:pt idx="341">
                  <c:v>46454</c:v>
                </c:pt>
                <c:pt idx="342">
                  <c:v>46455</c:v>
                </c:pt>
                <c:pt idx="343">
                  <c:v>46456</c:v>
                </c:pt>
                <c:pt idx="344">
                  <c:v>46457</c:v>
                </c:pt>
                <c:pt idx="345">
                  <c:v>46458</c:v>
                </c:pt>
                <c:pt idx="346">
                  <c:v>46459</c:v>
                </c:pt>
                <c:pt idx="347">
                  <c:v>46460</c:v>
                </c:pt>
                <c:pt idx="348">
                  <c:v>46461</c:v>
                </c:pt>
                <c:pt idx="349">
                  <c:v>46462</c:v>
                </c:pt>
                <c:pt idx="350">
                  <c:v>46463</c:v>
                </c:pt>
                <c:pt idx="351">
                  <c:v>46464</c:v>
                </c:pt>
                <c:pt idx="352">
                  <c:v>46465</c:v>
                </c:pt>
                <c:pt idx="353">
                  <c:v>46466</c:v>
                </c:pt>
                <c:pt idx="354">
                  <c:v>46467</c:v>
                </c:pt>
                <c:pt idx="355">
                  <c:v>46468</c:v>
                </c:pt>
                <c:pt idx="356">
                  <c:v>46469</c:v>
                </c:pt>
                <c:pt idx="357">
                  <c:v>46470</c:v>
                </c:pt>
                <c:pt idx="358">
                  <c:v>46471</c:v>
                </c:pt>
                <c:pt idx="359">
                  <c:v>46472</c:v>
                </c:pt>
                <c:pt idx="360">
                  <c:v>46473</c:v>
                </c:pt>
                <c:pt idx="361">
                  <c:v>46474</c:v>
                </c:pt>
                <c:pt idx="362">
                  <c:v>46475</c:v>
                </c:pt>
                <c:pt idx="363">
                  <c:v>46476</c:v>
                </c:pt>
              </c:numCache>
            </c:numRef>
          </c:cat>
          <c:val>
            <c:numRef>
              <c:f>Profils!$I$2:$I$365</c:f>
              <c:numCache>
                <c:formatCode>General</c:formatCode>
                <c:ptCount val="364"/>
                <c:pt idx="0">
                  <c:v>1.2736459899999999</c:v>
                </c:pt>
                <c:pt idx="1">
                  <c:v>1.25868914</c:v>
                </c:pt>
                <c:pt idx="2">
                  <c:v>1.24264134</c:v>
                </c:pt>
                <c:pt idx="3">
                  <c:v>1.1191451299999999</c:v>
                </c:pt>
                <c:pt idx="4">
                  <c:v>1.1044090799999999</c:v>
                </c:pt>
                <c:pt idx="5">
                  <c:v>1.0896503399999999</c:v>
                </c:pt>
                <c:pt idx="6">
                  <c:v>1.18237704</c:v>
                </c:pt>
                <c:pt idx="7">
                  <c:v>1.1661805999999999</c:v>
                </c:pt>
                <c:pt idx="8">
                  <c:v>1.1520741299999999</c:v>
                </c:pt>
                <c:pt idx="9">
                  <c:v>1.1368833599999999</c:v>
                </c:pt>
                <c:pt idx="10">
                  <c:v>1.0155418000000001</c:v>
                </c:pt>
                <c:pt idx="11">
                  <c:v>1.00174082</c:v>
                </c:pt>
                <c:pt idx="12">
                  <c:v>1.09328241</c:v>
                </c:pt>
                <c:pt idx="13">
                  <c:v>1.0769395399999999</c:v>
                </c:pt>
                <c:pt idx="14">
                  <c:v>1.0626925300000001</c:v>
                </c:pt>
                <c:pt idx="15">
                  <c:v>1.04842557</c:v>
                </c:pt>
                <c:pt idx="16">
                  <c:v>1.03519804</c:v>
                </c:pt>
                <c:pt idx="17">
                  <c:v>0.91643684999999997</c:v>
                </c:pt>
                <c:pt idx="18">
                  <c:v>0.90252922000000002</c:v>
                </c:pt>
                <c:pt idx="19">
                  <c:v>0.99117785999999997</c:v>
                </c:pt>
                <c:pt idx="20">
                  <c:v>0.97682588999999997</c:v>
                </c:pt>
                <c:pt idx="21">
                  <c:v>0.96351827000000001</c:v>
                </c:pt>
                <c:pt idx="22">
                  <c:v>0.94913915000000004</c:v>
                </c:pt>
                <c:pt idx="23">
                  <c:v>0.93474789999999996</c:v>
                </c:pt>
                <c:pt idx="24">
                  <c:v>0.81993121999999996</c:v>
                </c:pt>
                <c:pt idx="25">
                  <c:v>0.80703203999999995</c:v>
                </c:pt>
                <c:pt idx="26">
                  <c:v>0.89256924999999998</c:v>
                </c:pt>
                <c:pt idx="27">
                  <c:v>0.87919733</c:v>
                </c:pt>
                <c:pt idx="28">
                  <c:v>0.86581797000000005</c:v>
                </c:pt>
                <c:pt idx="29">
                  <c:v>0.85137364999999998</c:v>
                </c:pt>
                <c:pt idx="30">
                  <c:v>0.74028684</c:v>
                </c:pt>
                <c:pt idx="31">
                  <c:v>0.72627708000000002</c:v>
                </c:pt>
                <c:pt idx="32">
                  <c:v>0.71226434000000005</c:v>
                </c:pt>
                <c:pt idx="33">
                  <c:v>0.79566552999999995</c:v>
                </c:pt>
                <c:pt idx="34">
                  <c:v>0.7812017</c:v>
                </c:pt>
                <c:pt idx="35">
                  <c:v>0.76779492999999999</c:v>
                </c:pt>
                <c:pt idx="36">
                  <c:v>0.75438762999999998</c:v>
                </c:pt>
                <c:pt idx="37">
                  <c:v>0.64541422999999998</c:v>
                </c:pt>
                <c:pt idx="38">
                  <c:v>0.63247560000000003</c:v>
                </c:pt>
                <c:pt idx="39">
                  <c:v>0.61845989000000001</c:v>
                </c:pt>
                <c:pt idx="40">
                  <c:v>0.69759382000000003</c:v>
                </c:pt>
                <c:pt idx="41">
                  <c:v>0.68313725999999997</c:v>
                </c:pt>
                <c:pt idx="42">
                  <c:v>0.66974319999999998</c:v>
                </c:pt>
                <c:pt idx="43">
                  <c:v>0.56350109000000004</c:v>
                </c:pt>
                <c:pt idx="44">
                  <c:v>0.64085340999999996</c:v>
                </c:pt>
                <c:pt idx="45">
                  <c:v>0.53550551000000002</c:v>
                </c:pt>
                <c:pt idx="46">
                  <c:v>0.52151533999999999</c:v>
                </c:pt>
                <c:pt idx="47">
                  <c:v>0.5965085</c:v>
                </c:pt>
                <c:pt idx="48">
                  <c:v>0.58209518000000005</c:v>
                </c:pt>
                <c:pt idx="49">
                  <c:v>0.56663227999999999</c:v>
                </c:pt>
                <c:pt idx="50">
                  <c:v>0.55223723000000002</c:v>
                </c:pt>
                <c:pt idx="51">
                  <c:v>0.53785223000000004</c:v>
                </c:pt>
                <c:pt idx="52">
                  <c:v>0.43447669999999999</c:v>
                </c:pt>
                <c:pt idx="53">
                  <c:v>0.42008098999999999</c:v>
                </c:pt>
                <c:pt idx="54">
                  <c:v>0.41801349999999998</c:v>
                </c:pt>
                <c:pt idx="55">
                  <c:v>0.49994631</c:v>
                </c:pt>
                <c:pt idx="56">
                  <c:v>0.49726273999999998</c:v>
                </c:pt>
                <c:pt idx="57">
                  <c:v>0.49459260999999999</c:v>
                </c:pt>
                <c:pt idx="58">
                  <c:v>0.49193643999999997</c:v>
                </c:pt>
                <c:pt idx="59">
                  <c:v>0.40782573</c:v>
                </c:pt>
                <c:pt idx="60">
                  <c:v>0.40582091999999997</c:v>
                </c:pt>
                <c:pt idx="61">
                  <c:v>0.48405682999999999</c:v>
                </c:pt>
                <c:pt idx="62">
                  <c:v>0.48146158999999999</c:v>
                </c:pt>
                <c:pt idx="63">
                  <c:v>0.4788828</c:v>
                </c:pt>
                <c:pt idx="64">
                  <c:v>0.47632094000000003</c:v>
                </c:pt>
                <c:pt idx="65">
                  <c:v>0.47377648</c:v>
                </c:pt>
                <c:pt idx="66">
                  <c:v>0.39405314000000002</c:v>
                </c:pt>
                <c:pt idx="67">
                  <c:v>0.39213872999999999</c:v>
                </c:pt>
                <c:pt idx="68">
                  <c:v>0.4662521</c:v>
                </c:pt>
                <c:pt idx="69">
                  <c:v>0.46378183000000001</c:v>
                </c:pt>
                <c:pt idx="70">
                  <c:v>0.46133121999999999</c:v>
                </c:pt>
                <c:pt idx="71">
                  <c:v>0.45890071999999998</c:v>
                </c:pt>
                <c:pt idx="72">
                  <c:v>0.45649078999999998</c:v>
                </c:pt>
                <c:pt idx="73">
                  <c:v>0.38096506000000002</c:v>
                </c:pt>
                <c:pt idx="74">
                  <c:v>0.37915808000000001</c:v>
                </c:pt>
                <c:pt idx="75">
                  <c:v>0.44938871000000002</c:v>
                </c:pt>
                <c:pt idx="76">
                  <c:v>0.4470654</c:v>
                </c:pt>
                <c:pt idx="77">
                  <c:v>0.44476483999999999</c:v>
                </c:pt>
                <c:pt idx="78">
                  <c:v>0.44248747999999999</c:v>
                </c:pt>
                <c:pt idx="79">
                  <c:v>0.44023375999999997</c:v>
                </c:pt>
                <c:pt idx="80">
                  <c:v>0.36867863000000001</c:v>
                </c:pt>
                <c:pt idx="81">
                  <c:v>0.36699561000000003</c:v>
                </c:pt>
                <c:pt idx="82">
                  <c:v>0.43361896</c:v>
                </c:pt>
                <c:pt idx="83">
                  <c:v>0.43146432000000001</c:v>
                </c:pt>
                <c:pt idx="84">
                  <c:v>0.42933557999999999</c:v>
                </c:pt>
                <c:pt idx="85">
                  <c:v>0.42723323000000002</c:v>
                </c:pt>
                <c:pt idx="86">
                  <c:v>0.42515773000000001</c:v>
                </c:pt>
                <c:pt idx="87">
                  <c:v>0.35731046</c:v>
                </c:pt>
                <c:pt idx="88">
                  <c:v>0.35576843000000002</c:v>
                </c:pt>
                <c:pt idx="89">
                  <c:v>0.41909709000000001</c:v>
                </c:pt>
                <c:pt idx="90">
                  <c:v>0.41713379</c:v>
                </c:pt>
                <c:pt idx="91">
                  <c:v>0.41519979000000001</c:v>
                </c:pt>
                <c:pt idx="92">
                  <c:v>0.41329557</c:v>
                </c:pt>
                <c:pt idx="93">
                  <c:v>0.41142165000000003</c:v>
                </c:pt>
                <c:pt idx="94">
                  <c:v>0.34698306000000001</c:v>
                </c:pt>
                <c:pt idx="95">
                  <c:v>0.34560025999999999</c:v>
                </c:pt>
                <c:pt idx="96">
                  <c:v>0.40598693000000002</c:v>
                </c:pt>
                <c:pt idx="97">
                  <c:v>0.40423946999999999</c:v>
                </c:pt>
                <c:pt idx="98">
                  <c:v>0.40252495999999999</c:v>
                </c:pt>
                <c:pt idx="99">
                  <c:v>0.40084395</c:v>
                </c:pt>
                <c:pt idx="100">
                  <c:v>0.39919698999999997</c:v>
                </c:pt>
                <c:pt idx="101">
                  <c:v>0.33782881999999997</c:v>
                </c:pt>
                <c:pt idx="102">
                  <c:v>0.33662507000000003</c:v>
                </c:pt>
                <c:pt idx="103">
                  <c:v>0.39446608</c:v>
                </c:pt>
                <c:pt idx="104">
                  <c:v>0.33429985000000001</c:v>
                </c:pt>
                <c:pt idx="105">
                  <c:v>0.39149279999999997</c:v>
                </c:pt>
                <c:pt idx="106">
                  <c:v>0.39006207999999998</c:v>
                </c:pt>
                <c:pt idx="107">
                  <c:v>0.38866942999999998</c:v>
                </c:pt>
                <c:pt idx="108">
                  <c:v>0.32999092000000002</c:v>
                </c:pt>
                <c:pt idx="109">
                  <c:v>0.32898743000000003</c:v>
                </c:pt>
                <c:pt idx="110">
                  <c:v>0.3847257</c:v>
                </c:pt>
                <c:pt idx="111">
                  <c:v>0.38349116999999999</c:v>
                </c:pt>
                <c:pt idx="112">
                  <c:v>0.38229763999999999</c:v>
                </c:pt>
                <c:pt idx="113">
                  <c:v>0.38114569999999998</c:v>
                </c:pt>
                <c:pt idx="114">
                  <c:v>0.38003593000000002</c:v>
                </c:pt>
                <c:pt idx="115">
                  <c:v>0.32362054000000001</c:v>
                </c:pt>
                <c:pt idx="116">
                  <c:v>0.32283924000000003</c:v>
                </c:pt>
                <c:pt idx="117">
                  <c:v>0.37696553999999999</c:v>
                </c:pt>
                <c:pt idx="118">
                  <c:v>0.37603029999999998</c:v>
                </c:pt>
                <c:pt idx="119">
                  <c:v>0.37514012000000002</c:v>
                </c:pt>
                <c:pt idx="120">
                  <c:v>0.37429556000000003</c:v>
                </c:pt>
                <c:pt idx="121">
                  <c:v>0.37349717999999998</c:v>
                </c:pt>
                <c:pt idx="122">
                  <c:v>0.31887058000000001</c:v>
                </c:pt>
                <c:pt idx="123">
                  <c:v>0.31833295</c:v>
                </c:pt>
                <c:pt idx="124">
                  <c:v>0.37138451</c:v>
                </c:pt>
                <c:pt idx="125">
                  <c:v>0.37077619000000001</c:v>
                </c:pt>
                <c:pt idx="126">
                  <c:v>0.37021668000000002</c:v>
                </c:pt>
                <c:pt idx="127">
                  <c:v>0.36970645000000002</c:v>
                </c:pt>
                <c:pt idx="128">
                  <c:v>0.36924600000000002</c:v>
                </c:pt>
                <c:pt idx="129">
                  <c:v>0.31588649000000002</c:v>
                </c:pt>
                <c:pt idx="130">
                  <c:v>0.31561207000000002</c:v>
                </c:pt>
                <c:pt idx="131">
                  <c:v>0.36816777000000001</c:v>
                </c:pt>
                <c:pt idx="132">
                  <c:v>0.36791084000000002</c:v>
                </c:pt>
                <c:pt idx="133">
                  <c:v>0.36770582000000002</c:v>
                </c:pt>
                <c:pt idx="134">
                  <c:v>0.36755307999999998</c:v>
                </c:pt>
                <c:pt idx="135">
                  <c:v>0.36745296999999999</c:v>
                </c:pt>
                <c:pt idx="136">
                  <c:v>0.31479509999999999</c:v>
                </c:pt>
                <c:pt idx="137">
                  <c:v>0.31479979000000002</c:v>
                </c:pt>
                <c:pt idx="138">
                  <c:v>0.36747166999999997</c:v>
                </c:pt>
                <c:pt idx="139">
                  <c:v>0.3675852</c:v>
                </c:pt>
                <c:pt idx="140">
                  <c:v>0.36775279999999999</c:v>
                </c:pt>
                <c:pt idx="141">
                  <c:v>0.36797467</c:v>
                </c:pt>
                <c:pt idx="142">
                  <c:v>0.36825101999999998</c:v>
                </c:pt>
                <c:pt idx="143">
                  <c:v>0.3156928</c:v>
                </c:pt>
                <c:pt idx="144">
                  <c:v>0.31598721000000002</c:v>
                </c:pt>
                <c:pt idx="145">
                  <c:v>0.36940833000000001</c:v>
                </c:pt>
                <c:pt idx="146">
                  <c:v>0.36990389000000001</c:v>
                </c:pt>
                <c:pt idx="147">
                  <c:v>0.37045444</c:v>
                </c:pt>
                <c:pt idx="148">
                  <c:v>0.37106001</c:v>
                </c:pt>
                <c:pt idx="149">
                  <c:v>0.37172058000000002</c:v>
                </c:pt>
                <c:pt idx="150">
                  <c:v>0.31863443000000002</c:v>
                </c:pt>
                <c:pt idx="151">
                  <c:v>0.31922244999999999</c:v>
                </c:pt>
                <c:pt idx="152">
                  <c:v>0.37403177999999998</c:v>
                </c:pt>
                <c:pt idx="153">
                  <c:v>0.37491165999999998</c:v>
                </c:pt>
                <c:pt idx="154">
                  <c:v>0.37584603</c:v>
                </c:pt>
                <c:pt idx="155">
                  <c:v>0.37683470000000002</c:v>
                </c:pt>
                <c:pt idx="156">
                  <c:v>0.37787743000000001</c:v>
                </c:pt>
                <c:pt idx="157">
                  <c:v>0.32362437999999999</c:v>
                </c:pt>
                <c:pt idx="158">
                  <c:v>0.32450214999999999</c:v>
                </c:pt>
                <c:pt idx="159">
                  <c:v>0.38132726</c:v>
                </c:pt>
                <c:pt idx="160">
                  <c:v>0.38258333</c:v>
                </c:pt>
                <c:pt idx="161">
                  <c:v>0.38389183999999998</c:v>
                </c:pt>
                <c:pt idx="162">
                  <c:v>0.38525238000000001</c:v>
                </c:pt>
                <c:pt idx="163">
                  <c:v>0.38666449000000003</c:v>
                </c:pt>
                <c:pt idx="164">
                  <c:v>0.33061087</c:v>
                </c:pt>
                <c:pt idx="165">
                  <c:v>0.33176624999999998</c:v>
                </c:pt>
                <c:pt idx="166">
                  <c:v>0.39120526999999999</c:v>
                </c:pt>
                <c:pt idx="167">
                  <c:v>0.39281853</c:v>
                </c:pt>
                <c:pt idx="168">
                  <c:v>0.39448064999999999</c:v>
                </c:pt>
                <c:pt idx="169">
                  <c:v>0.39619100000000002</c:v>
                </c:pt>
                <c:pt idx="170">
                  <c:v>0.39794889999999999</c:v>
                </c:pt>
                <c:pt idx="171">
                  <c:v>0.33948431000000001</c:v>
                </c:pt>
                <c:pt idx="172">
                  <c:v>0.34089702</c:v>
                </c:pt>
                <c:pt idx="173">
                  <c:v>0.40350097000000001</c:v>
                </c:pt>
                <c:pt idx="174">
                  <c:v>0.40544195999999999</c:v>
                </c:pt>
                <c:pt idx="175">
                  <c:v>0.40742680999999997</c:v>
                </c:pt>
                <c:pt idx="176">
                  <c:v>0.4094547</c:v>
                </c:pt>
                <c:pt idx="177">
                  <c:v>0.42269677</c:v>
                </c:pt>
                <c:pt idx="178">
                  <c:v>0.37318407999999997</c:v>
                </c:pt>
                <c:pt idx="179">
                  <c:v>0.38776829000000002</c:v>
                </c:pt>
                <c:pt idx="180">
                  <c:v>0.46937092000000002</c:v>
                </c:pt>
                <c:pt idx="181">
                  <c:v>0.48430181</c:v>
                </c:pt>
                <c:pt idx="182">
                  <c:v>0.50032876999999998</c:v>
                </c:pt>
                <c:pt idx="183">
                  <c:v>0.51745083999999997</c:v>
                </c:pt>
                <c:pt idx="184">
                  <c:v>0.53460863000000003</c:v>
                </c:pt>
                <c:pt idx="185">
                  <c:v>0.48343142</c:v>
                </c:pt>
                <c:pt idx="186">
                  <c:v>0.50036849999999999</c:v>
                </c:pt>
                <c:pt idx="187">
                  <c:v>0.58522786999999998</c:v>
                </c:pt>
                <c:pt idx="188">
                  <c:v>0.60146001999999998</c:v>
                </c:pt>
                <c:pt idx="189">
                  <c:v>0.61878118000000004</c:v>
                </c:pt>
                <c:pt idx="190">
                  <c:v>0.63613189000000003</c:v>
                </c:pt>
                <c:pt idx="191">
                  <c:v>0.65456946999999999</c:v>
                </c:pt>
                <c:pt idx="192">
                  <c:v>0.60248690000000005</c:v>
                </c:pt>
                <c:pt idx="193">
                  <c:v>0.6206602</c:v>
                </c:pt>
                <c:pt idx="194">
                  <c:v>0.70792544000000002</c:v>
                </c:pt>
                <c:pt idx="195">
                  <c:v>0.72540766999999995</c:v>
                </c:pt>
                <c:pt idx="196">
                  <c:v>0.74502975000000005</c:v>
                </c:pt>
                <c:pt idx="197">
                  <c:v>0.76361533999999998</c:v>
                </c:pt>
                <c:pt idx="198">
                  <c:v>0.78116335000000003</c:v>
                </c:pt>
                <c:pt idx="199">
                  <c:v>0.72899643999999997</c:v>
                </c:pt>
                <c:pt idx="200">
                  <c:v>0.74728687000000005</c:v>
                </c:pt>
                <c:pt idx="201">
                  <c:v>0.83815492999999996</c:v>
                </c:pt>
                <c:pt idx="202">
                  <c:v>0.85683361999999996</c:v>
                </c:pt>
                <c:pt idx="203">
                  <c:v>0.87658603999999996</c:v>
                </c:pt>
                <c:pt idx="204">
                  <c:v>0.89423587000000004</c:v>
                </c:pt>
                <c:pt idx="205">
                  <c:v>0.91401566000000001</c:v>
                </c:pt>
                <c:pt idx="206">
                  <c:v>0.85835943000000003</c:v>
                </c:pt>
                <c:pt idx="207">
                  <c:v>0.87672594000000004</c:v>
                </c:pt>
                <c:pt idx="208">
                  <c:v>0.97130634000000005</c:v>
                </c:pt>
                <c:pt idx="209">
                  <c:v>0.99112800000000001</c:v>
                </c:pt>
                <c:pt idx="210">
                  <c:v>1.0098990800000001</c:v>
                </c:pt>
                <c:pt idx="211">
                  <c:v>1.0297353600000001</c:v>
                </c:pt>
                <c:pt idx="212">
                  <c:v>1.048519</c:v>
                </c:pt>
                <c:pt idx="213">
                  <c:v>0.99029173999999998</c:v>
                </c:pt>
                <c:pt idx="214">
                  <c:v>1.0086946699999999</c:v>
                </c:pt>
                <c:pt idx="215">
                  <c:v>1.10489449</c:v>
                </c:pt>
                <c:pt idx="216">
                  <c:v>1.1247496299999999</c:v>
                </c:pt>
                <c:pt idx="217">
                  <c:v>1.1424888</c:v>
                </c:pt>
                <c:pt idx="218">
                  <c:v>1.1623446799999999</c:v>
                </c:pt>
                <c:pt idx="219">
                  <c:v>1.1800827</c:v>
                </c:pt>
                <c:pt idx="220">
                  <c:v>1.1191311100000001</c:v>
                </c:pt>
                <c:pt idx="221">
                  <c:v>1.1364551700000001</c:v>
                </c:pt>
                <c:pt idx="222">
                  <c:v>1.2353983500000001</c:v>
                </c:pt>
                <c:pt idx="223">
                  <c:v>1.25312326</c:v>
                </c:pt>
                <c:pt idx="224">
                  <c:v>1.18948611</c:v>
                </c:pt>
                <c:pt idx="225">
                  <c:v>1.2874975200000001</c:v>
                </c:pt>
                <c:pt idx="226">
                  <c:v>1.3062620300000001</c:v>
                </c:pt>
                <c:pt idx="227">
                  <c:v>1.2413955400000001</c:v>
                </c:pt>
                <c:pt idx="228">
                  <c:v>1.2565292699999999</c:v>
                </c:pt>
                <c:pt idx="229">
                  <c:v>1.35721307</c:v>
                </c:pt>
                <c:pt idx="230">
                  <c:v>1.3727661600000001</c:v>
                </c:pt>
                <c:pt idx="231">
                  <c:v>1.38936674</c:v>
                </c:pt>
                <c:pt idx="232">
                  <c:v>1.4059556799999999</c:v>
                </c:pt>
                <c:pt idx="233">
                  <c:v>1.42147388</c:v>
                </c:pt>
                <c:pt idx="234">
                  <c:v>1.3514747199999999</c:v>
                </c:pt>
                <c:pt idx="235">
                  <c:v>1.36654645</c:v>
                </c:pt>
                <c:pt idx="236">
                  <c:v>1.4668892899999999</c:v>
                </c:pt>
                <c:pt idx="237">
                  <c:v>1.4812930500000001</c:v>
                </c:pt>
                <c:pt idx="238">
                  <c:v>1.49568122</c:v>
                </c:pt>
                <c:pt idx="239">
                  <c:v>1.5089947699999999</c:v>
                </c:pt>
                <c:pt idx="240">
                  <c:v>1.5233499399999999</c:v>
                </c:pt>
                <c:pt idx="241">
                  <c:v>1.44918098</c:v>
                </c:pt>
                <c:pt idx="242">
                  <c:v>1.4609308299999999</c:v>
                </c:pt>
                <c:pt idx="243">
                  <c:v>1.5631337000000001</c:v>
                </c:pt>
                <c:pt idx="244">
                  <c:v>1.5763576100000001</c:v>
                </c:pt>
                <c:pt idx="245">
                  <c:v>1.58850354</c:v>
                </c:pt>
                <c:pt idx="246">
                  <c:v>1.6006293899999999</c:v>
                </c:pt>
                <c:pt idx="247">
                  <c:v>1.61167624</c:v>
                </c:pt>
                <c:pt idx="248">
                  <c:v>1.53111931</c:v>
                </c:pt>
                <c:pt idx="249">
                  <c:v>1.5427619699999999</c:v>
                </c:pt>
                <c:pt idx="250">
                  <c:v>1.6457467299999999</c:v>
                </c:pt>
                <c:pt idx="251">
                  <c:v>1.6556479399999999</c:v>
                </c:pt>
                <c:pt idx="252">
                  <c:v>1.66552615</c:v>
                </c:pt>
                <c:pt idx="253">
                  <c:v>1.6753809200000001</c:v>
                </c:pt>
                <c:pt idx="254">
                  <c:v>1.68521181</c:v>
                </c:pt>
                <c:pt idx="255">
                  <c:v>1.6003887299999999</c:v>
                </c:pt>
                <c:pt idx="256">
                  <c:v>1.6086707600000001</c:v>
                </c:pt>
                <c:pt idx="257">
                  <c:v>1.71243988</c:v>
                </c:pt>
                <c:pt idx="258">
                  <c:v>1.7211124</c:v>
                </c:pt>
                <c:pt idx="259">
                  <c:v>1.7297588699999999</c:v>
                </c:pt>
                <c:pt idx="260">
                  <c:v>1.73732044</c:v>
                </c:pt>
                <c:pt idx="261">
                  <c:v>1.74485511</c:v>
                </c:pt>
                <c:pt idx="262">
                  <c:v>1.6547120799999999</c:v>
                </c:pt>
                <c:pt idx="263">
                  <c:v>1.6617741500000001</c:v>
                </c:pt>
                <c:pt idx="264">
                  <c:v>1.7672935299999999</c:v>
                </c:pt>
                <c:pt idx="265">
                  <c:v>1.7747164099999999</c:v>
                </c:pt>
                <c:pt idx="266">
                  <c:v>1.7810519</c:v>
                </c:pt>
                <c:pt idx="267">
                  <c:v>1.7873579900000001</c:v>
                </c:pt>
                <c:pt idx="268">
                  <c:v>1.69352039</c:v>
                </c:pt>
                <c:pt idx="269">
                  <c:v>1.6993702799999999</c:v>
                </c:pt>
                <c:pt idx="270">
                  <c:v>1.7051967699999999</c:v>
                </c:pt>
                <c:pt idx="271">
                  <c:v>1.81122155</c:v>
                </c:pt>
                <c:pt idx="272">
                  <c:v>1.81631593</c:v>
                </c:pt>
                <c:pt idx="273">
                  <c:v>1.8213783699999999</c:v>
                </c:pt>
                <c:pt idx="274">
                  <c:v>1.8274668700000001</c:v>
                </c:pt>
                <c:pt idx="275">
                  <c:v>1.72857445</c:v>
                </c:pt>
                <c:pt idx="276">
                  <c:v>1.7331752199999999</c:v>
                </c:pt>
                <c:pt idx="277">
                  <c:v>1.73667182</c:v>
                </c:pt>
                <c:pt idx="278">
                  <c:v>1.8451381</c:v>
                </c:pt>
                <c:pt idx="279">
                  <c:v>1.84894143</c:v>
                </c:pt>
                <c:pt idx="280">
                  <c:v>1.85376816</c:v>
                </c:pt>
                <c:pt idx="281">
                  <c:v>1.85750104</c:v>
                </c:pt>
                <c:pt idx="282">
                  <c:v>1.8611980100000001</c:v>
                </c:pt>
                <c:pt idx="283">
                  <c:v>1.7592497</c:v>
                </c:pt>
                <c:pt idx="284">
                  <c:v>1.76255685</c:v>
                </c:pt>
                <c:pt idx="285">
                  <c:v>1.8710104999999999</c:v>
                </c:pt>
                <c:pt idx="286">
                  <c:v>1.8745592499999999</c:v>
                </c:pt>
                <c:pt idx="287">
                  <c:v>1.87701137</c:v>
                </c:pt>
                <c:pt idx="288">
                  <c:v>1.8794248099999999</c:v>
                </c:pt>
                <c:pt idx="289">
                  <c:v>1.8817991000000001</c:v>
                </c:pt>
                <c:pt idx="290">
                  <c:v>1.7753187800000001</c:v>
                </c:pt>
                <c:pt idx="291">
                  <c:v>1.77734075</c:v>
                </c:pt>
                <c:pt idx="292">
                  <c:v>1.8876238999999999</c:v>
                </c:pt>
                <c:pt idx="293">
                  <c:v>1.88983685</c:v>
                </c:pt>
                <c:pt idx="294">
                  <c:v>1.8920082899999999</c:v>
                </c:pt>
                <c:pt idx="295">
                  <c:v>1.8930793400000001</c:v>
                </c:pt>
                <c:pt idx="296">
                  <c:v>1.89304954</c:v>
                </c:pt>
                <c:pt idx="297">
                  <c:v>1.7844958099999999</c:v>
                </c:pt>
                <c:pt idx="298">
                  <c:v>1.78413654</c:v>
                </c:pt>
                <c:pt idx="299">
                  <c:v>1.89481762</c:v>
                </c:pt>
                <c:pt idx="300">
                  <c:v>1.8946134100000001</c:v>
                </c:pt>
                <c:pt idx="301">
                  <c:v>1.89436447</c:v>
                </c:pt>
                <c:pt idx="302">
                  <c:v>1.89407036</c:v>
                </c:pt>
                <c:pt idx="303">
                  <c:v>1.89373064</c:v>
                </c:pt>
                <c:pt idx="304">
                  <c:v>1.7812664199999999</c:v>
                </c:pt>
                <c:pt idx="305">
                  <c:v>1.7795873900000001</c:v>
                </c:pt>
                <c:pt idx="306">
                  <c:v>1.8903167599999999</c:v>
                </c:pt>
                <c:pt idx="307">
                  <c:v>1.8876736000000001</c:v>
                </c:pt>
                <c:pt idx="308">
                  <c:v>1.8849827699999999</c:v>
                </c:pt>
                <c:pt idx="309">
                  <c:v>1.8833023200000001</c:v>
                </c:pt>
                <c:pt idx="310">
                  <c:v>1.88051506</c:v>
                </c:pt>
                <c:pt idx="311">
                  <c:v>1.76551612</c:v>
                </c:pt>
                <c:pt idx="312">
                  <c:v>1.7625020899999999</c:v>
                </c:pt>
                <c:pt idx="313">
                  <c:v>1.87080099</c:v>
                </c:pt>
                <c:pt idx="314">
                  <c:v>1.86675832</c:v>
                </c:pt>
                <c:pt idx="315">
                  <c:v>1.86266563</c:v>
                </c:pt>
                <c:pt idx="316">
                  <c:v>1.85746422</c:v>
                </c:pt>
                <c:pt idx="317">
                  <c:v>1.8522122599999999</c:v>
                </c:pt>
                <c:pt idx="318">
                  <c:v>1.7349900599999999</c:v>
                </c:pt>
                <c:pt idx="319">
                  <c:v>1.7273935300000001</c:v>
                </c:pt>
                <c:pt idx="320">
                  <c:v>1.8350923100000001</c:v>
                </c:pt>
                <c:pt idx="321">
                  <c:v>1.8296359099999999</c:v>
                </c:pt>
                <c:pt idx="322">
                  <c:v>1.82095272</c:v>
                </c:pt>
                <c:pt idx="323">
                  <c:v>1.8143346499999999</c:v>
                </c:pt>
                <c:pt idx="324">
                  <c:v>1.8076647699999999</c:v>
                </c:pt>
                <c:pt idx="325">
                  <c:v>1.6853031000000001</c:v>
                </c:pt>
                <c:pt idx="326">
                  <c:v>1.67743061</c:v>
                </c:pt>
                <c:pt idx="327">
                  <c:v>1.78205141</c:v>
                </c:pt>
                <c:pt idx="328">
                  <c:v>1.77305679</c:v>
                </c:pt>
                <c:pt idx="329">
                  <c:v>1.7640101399999999</c:v>
                </c:pt>
                <c:pt idx="330">
                  <c:v>1.75385309</c:v>
                </c:pt>
                <c:pt idx="331">
                  <c:v>1.74470251</c:v>
                </c:pt>
                <c:pt idx="332">
                  <c:v>1.6207342600000001</c:v>
                </c:pt>
                <c:pt idx="333">
                  <c:v>1.6104272900000001</c:v>
                </c:pt>
                <c:pt idx="334">
                  <c:v>1.71270652</c:v>
                </c:pt>
                <c:pt idx="335">
                  <c:v>1.7022909100000001</c:v>
                </c:pt>
                <c:pt idx="336">
                  <c:v>1.6907656600000001</c:v>
                </c:pt>
                <c:pt idx="337">
                  <c:v>1.67813097</c:v>
                </c:pt>
                <c:pt idx="338">
                  <c:v>1.66650393</c:v>
                </c:pt>
                <c:pt idx="339">
                  <c:v>1.5402142000000001</c:v>
                </c:pt>
                <c:pt idx="340">
                  <c:v>1.5285564599999999</c:v>
                </c:pt>
                <c:pt idx="341">
                  <c:v>1.6292042900000001</c:v>
                </c:pt>
                <c:pt idx="342">
                  <c:v>1.6152604100000001</c:v>
                </c:pt>
                <c:pt idx="343">
                  <c:v>1.6023258300000001</c:v>
                </c:pt>
                <c:pt idx="344">
                  <c:v>1.5882841599999999</c:v>
                </c:pt>
                <c:pt idx="345">
                  <c:v>1.57525264</c:v>
                </c:pt>
                <c:pt idx="346">
                  <c:v>1.4470365000000001</c:v>
                </c:pt>
                <c:pt idx="347">
                  <c:v>1.43404044</c:v>
                </c:pt>
                <c:pt idx="348">
                  <c:v>1.5316398200000001</c:v>
                </c:pt>
                <c:pt idx="349">
                  <c:v>1.5173618799999999</c:v>
                </c:pt>
                <c:pt idx="350">
                  <c:v>1.5040967199999999</c:v>
                </c:pt>
                <c:pt idx="351">
                  <c:v>1.4886697</c:v>
                </c:pt>
                <c:pt idx="352">
                  <c:v>1.47425669</c:v>
                </c:pt>
                <c:pt idx="353">
                  <c:v>1.3467021299999999</c:v>
                </c:pt>
                <c:pt idx="354">
                  <c:v>1.3313087699999999</c:v>
                </c:pt>
                <c:pt idx="355">
                  <c:v>1.428641</c:v>
                </c:pt>
                <c:pt idx="356">
                  <c:v>1.41299866</c:v>
                </c:pt>
                <c:pt idx="357">
                  <c:v>1.3973154000000001</c:v>
                </c:pt>
                <c:pt idx="358">
                  <c:v>1.38159195</c:v>
                </c:pt>
                <c:pt idx="359">
                  <c:v>1.3668875199999999</c:v>
                </c:pt>
                <c:pt idx="360">
                  <c:v>1.24044584</c:v>
                </c:pt>
                <c:pt idx="361">
                  <c:v>1.2259165299999999</c:v>
                </c:pt>
                <c:pt idx="362">
                  <c:v>1.32042913</c:v>
                </c:pt>
                <c:pt idx="363">
                  <c:v>1.30557528</c:v>
                </c:pt>
              </c:numCache>
            </c:numRef>
          </c:val>
          <c:smooth val="0"/>
          <c:extLst>
            <c:ext xmlns:c16="http://schemas.microsoft.com/office/drawing/2014/chart" uri="{C3380CC4-5D6E-409C-BE32-E72D297353CC}">
              <c16:uniqueId val="{00000000-98DC-45DA-B7A4-E1C19D183B64}"/>
            </c:ext>
          </c:extLst>
        </c:ser>
        <c:dLbls>
          <c:showLegendKey val="0"/>
          <c:showVal val="0"/>
          <c:showCatName val="0"/>
          <c:showSerName val="0"/>
          <c:showPercent val="0"/>
          <c:showBubbleSize val="0"/>
        </c:dLbls>
        <c:smooth val="0"/>
        <c:axId val="570474575"/>
        <c:axId val="1"/>
      </c:lineChart>
      <c:dateAx>
        <c:axId val="570474575"/>
        <c:scaling>
          <c:orientation val="minMax"/>
        </c:scaling>
        <c:delete val="0"/>
        <c:axPos val="b"/>
        <c:numFmt formatCode="m/d/yyyy" sourceLinked="0"/>
        <c:majorTickMark val="out"/>
        <c:minorTickMark val="none"/>
        <c:tickLblPos val="nextTo"/>
        <c:txPr>
          <a:bodyPr rot="-5400000" vert="horz"/>
          <a:lstStyle/>
          <a:p>
            <a:pPr>
              <a:defRPr/>
            </a:pPr>
            <a:endParaRPr lang="fr-FR"/>
          </a:p>
        </c:txPr>
        <c:crossAx val="1"/>
        <c:crosses val="autoZero"/>
        <c:auto val="1"/>
        <c:lblOffset val="100"/>
        <c:baseTimeUnit val="days"/>
      </c:dateAx>
      <c:valAx>
        <c:axId val="1"/>
        <c:scaling>
          <c:orientation val="minMax"/>
          <c:max val="2.5"/>
        </c:scaling>
        <c:delete val="0"/>
        <c:axPos val="l"/>
        <c:majorGridlines/>
        <c:numFmt formatCode="0.0" sourceLinked="0"/>
        <c:majorTickMark val="out"/>
        <c:minorTickMark val="none"/>
        <c:tickLblPos val="nextTo"/>
        <c:crossAx val="570474575"/>
        <c:crosses val="autoZero"/>
        <c:crossBetween val="between"/>
        <c:majorUnit val="0.5"/>
        <c:minorUnit val="0.1"/>
      </c:valAx>
    </c:plotArea>
    <c:plotVisOnly val="1"/>
    <c:dispBlanksAs val="gap"/>
    <c:showDLblsOverMax val="0"/>
  </c:chart>
  <c:printSettings>
    <c:headerFooter/>
    <c:pageMargins b="0.75000000000000389" l="0.70000000000000062" r="0.70000000000000062" t="0.75000000000000389"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Profils!$J$1</c:f>
              <c:strCache>
                <c:ptCount val="1"/>
                <c:pt idx="0">
                  <c:v>P017</c:v>
                </c:pt>
              </c:strCache>
            </c:strRef>
          </c:tx>
          <c:spPr>
            <a:ln w="19050"/>
          </c:spPr>
          <c:marker>
            <c:symbol val="none"/>
          </c:marker>
          <c:cat>
            <c:numRef>
              <c:f>Profils!$B$2:$B$365</c:f>
              <c:numCache>
                <c:formatCode>m/d/yyyy</c:formatCode>
                <c:ptCount val="364"/>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pt idx="31">
                  <c:v>46144</c:v>
                </c:pt>
                <c:pt idx="32">
                  <c:v>46145</c:v>
                </c:pt>
                <c:pt idx="33">
                  <c:v>46146</c:v>
                </c:pt>
                <c:pt idx="34">
                  <c:v>46147</c:v>
                </c:pt>
                <c:pt idx="35">
                  <c:v>46148</c:v>
                </c:pt>
                <c:pt idx="36">
                  <c:v>46149</c:v>
                </c:pt>
                <c:pt idx="37">
                  <c:v>46150</c:v>
                </c:pt>
                <c:pt idx="38">
                  <c:v>46151</c:v>
                </c:pt>
                <c:pt idx="39">
                  <c:v>46152</c:v>
                </c:pt>
                <c:pt idx="40">
                  <c:v>46153</c:v>
                </c:pt>
                <c:pt idx="41">
                  <c:v>46154</c:v>
                </c:pt>
                <c:pt idx="42">
                  <c:v>46155</c:v>
                </c:pt>
                <c:pt idx="43">
                  <c:v>46156</c:v>
                </c:pt>
                <c:pt idx="44">
                  <c:v>46157</c:v>
                </c:pt>
                <c:pt idx="45">
                  <c:v>46158</c:v>
                </c:pt>
                <c:pt idx="46">
                  <c:v>46159</c:v>
                </c:pt>
                <c:pt idx="47">
                  <c:v>46160</c:v>
                </c:pt>
                <c:pt idx="48">
                  <c:v>46161</c:v>
                </c:pt>
                <c:pt idx="49">
                  <c:v>46162</c:v>
                </c:pt>
                <c:pt idx="50">
                  <c:v>46163</c:v>
                </c:pt>
                <c:pt idx="51">
                  <c:v>46164</c:v>
                </c:pt>
                <c:pt idx="52">
                  <c:v>46165</c:v>
                </c:pt>
                <c:pt idx="53">
                  <c:v>46166</c:v>
                </c:pt>
                <c:pt idx="54">
                  <c:v>46167</c:v>
                </c:pt>
                <c:pt idx="55">
                  <c:v>46168</c:v>
                </c:pt>
                <c:pt idx="56">
                  <c:v>46169</c:v>
                </c:pt>
                <c:pt idx="57">
                  <c:v>46170</c:v>
                </c:pt>
                <c:pt idx="58">
                  <c:v>46171</c:v>
                </c:pt>
                <c:pt idx="59">
                  <c:v>46172</c:v>
                </c:pt>
                <c:pt idx="60">
                  <c:v>46173</c:v>
                </c:pt>
                <c:pt idx="61">
                  <c:v>46174</c:v>
                </c:pt>
                <c:pt idx="62">
                  <c:v>46175</c:v>
                </c:pt>
                <c:pt idx="63">
                  <c:v>46176</c:v>
                </c:pt>
                <c:pt idx="64">
                  <c:v>46177</c:v>
                </c:pt>
                <c:pt idx="65">
                  <c:v>46178</c:v>
                </c:pt>
                <c:pt idx="66">
                  <c:v>46179</c:v>
                </c:pt>
                <c:pt idx="67">
                  <c:v>46180</c:v>
                </c:pt>
                <c:pt idx="68">
                  <c:v>46181</c:v>
                </c:pt>
                <c:pt idx="69">
                  <c:v>46182</c:v>
                </c:pt>
                <c:pt idx="70">
                  <c:v>46183</c:v>
                </c:pt>
                <c:pt idx="71">
                  <c:v>46184</c:v>
                </c:pt>
                <c:pt idx="72">
                  <c:v>46185</c:v>
                </c:pt>
                <c:pt idx="73">
                  <c:v>46186</c:v>
                </c:pt>
                <c:pt idx="74">
                  <c:v>46187</c:v>
                </c:pt>
                <c:pt idx="75">
                  <c:v>46188</c:v>
                </c:pt>
                <c:pt idx="76">
                  <c:v>46189</c:v>
                </c:pt>
                <c:pt idx="77">
                  <c:v>46190</c:v>
                </c:pt>
                <c:pt idx="78">
                  <c:v>46191</c:v>
                </c:pt>
                <c:pt idx="79">
                  <c:v>46192</c:v>
                </c:pt>
                <c:pt idx="80">
                  <c:v>46193</c:v>
                </c:pt>
                <c:pt idx="81">
                  <c:v>46194</c:v>
                </c:pt>
                <c:pt idx="82">
                  <c:v>46195</c:v>
                </c:pt>
                <c:pt idx="83">
                  <c:v>46196</c:v>
                </c:pt>
                <c:pt idx="84">
                  <c:v>46197</c:v>
                </c:pt>
                <c:pt idx="85">
                  <c:v>46198</c:v>
                </c:pt>
                <c:pt idx="86">
                  <c:v>46199</c:v>
                </c:pt>
                <c:pt idx="87">
                  <c:v>46200</c:v>
                </c:pt>
                <c:pt idx="88">
                  <c:v>46201</c:v>
                </c:pt>
                <c:pt idx="89">
                  <c:v>46202</c:v>
                </c:pt>
                <c:pt idx="90">
                  <c:v>46203</c:v>
                </c:pt>
                <c:pt idx="91">
                  <c:v>46204</c:v>
                </c:pt>
                <c:pt idx="92">
                  <c:v>46205</c:v>
                </c:pt>
                <c:pt idx="93">
                  <c:v>46206</c:v>
                </c:pt>
                <c:pt idx="94">
                  <c:v>46207</c:v>
                </c:pt>
                <c:pt idx="95">
                  <c:v>46208</c:v>
                </c:pt>
                <c:pt idx="96">
                  <c:v>46209</c:v>
                </c:pt>
                <c:pt idx="97">
                  <c:v>46210</c:v>
                </c:pt>
                <c:pt idx="98">
                  <c:v>46211</c:v>
                </c:pt>
                <c:pt idx="99">
                  <c:v>46212</c:v>
                </c:pt>
                <c:pt idx="100">
                  <c:v>46213</c:v>
                </c:pt>
                <c:pt idx="101">
                  <c:v>46214</c:v>
                </c:pt>
                <c:pt idx="102">
                  <c:v>46215</c:v>
                </c:pt>
                <c:pt idx="103">
                  <c:v>46216</c:v>
                </c:pt>
                <c:pt idx="104">
                  <c:v>46217</c:v>
                </c:pt>
                <c:pt idx="105">
                  <c:v>46218</c:v>
                </c:pt>
                <c:pt idx="106">
                  <c:v>46219</c:v>
                </c:pt>
                <c:pt idx="107">
                  <c:v>46220</c:v>
                </c:pt>
                <c:pt idx="108">
                  <c:v>46221</c:v>
                </c:pt>
                <c:pt idx="109">
                  <c:v>46222</c:v>
                </c:pt>
                <c:pt idx="110">
                  <c:v>46223</c:v>
                </c:pt>
                <c:pt idx="111">
                  <c:v>46224</c:v>
                </c:pt>
                <c:pt idx="112">
                  <c:v>46225</c:v>
                </c:pt>
                <c:pt idx="113">
                  <c:v>46226</c:v>
                </c:pt>
                <c:pt idx="114">
                  <c:v>46227</c:v>
                </c:pt>
                <c:pt idx="115">
                  <c:v>46228</c:v>
                </c:pt>
                <c:pt idx="116">
                  <c:v>46229</c:v>
                </c:pt>
                <c:pt idx="117">
                  <c:v>46230</c:v>
                </c:pt>
                <c:pt idx="118">
                  <c:v>46231</c:v>
                </c:pt>
                <c:pt idx="119">
                  <c:v>46232</c:v>
                </c:pt>
                <c:pt idx="120">
                  <c:v>46233</c:v>
                </c:pt>
                <c:pt idx="121">
                  <c:v>46234</c:v>
                </c:pt>
                <c:pt idx="122">
                  <c:v>46235</c:v>
                </c:pt>
                <c:pt idx="123">
                  <c:v>46236</c:v>
                </c:pt>
                <c:pt idx="124">
                  <c:v>46237</c:v>
                </c:pt>
                <c:pt idx="125">
                  <c:v>46238</c:v>
                </c:pt>
                <c:pt idx="126">
                  <c:v>46239</c:v>
                </c:pt>
                <c:pt idx="127">
                  <c:v>46240</c:v>
                </c:pt>
                <c:pt idx="128">
                  <c:v>46241</c:v>
                </c:pt>
                <c:pt idx="129">
                  <c:v>46242</c:v>
                </c:pt>
                <c:pt idx="130">
                  <c:v>46243</c:v>
                </c:pt>
                <c:pt idx="131">
                  <c:v>46244</c:v>
                </c:pt>
                <c:pt idx="132">
                  <c:v>46245</c:v>
                </c:pt>
                <c:pt idx="133">
                  <c:v>46246</c:v>
                </c:pt>
                <c:pt idx="134">
                  <c:v>46247</c:v>
                </c:pt>
                <c:pt idx="135">
                  <c:v>46248</c:v>
                </c:pt>
                <c:pt idx="136">
                  <c:v>46249</c:v>
                </c:pt>
                <c:pt idx="137">
                  <c:v>46250</c:v>
                </c:pt>
                <c:pt idx="138">
                  <c:v>46251</c:v>
                </c:pt>
                <c:pt idx="139">
                  <c:v>46252</c:v>
                </c:pt>
                <c:pt idx="140">
                  <c:v>46253</c:v>
                </c:pt>
                <c:pt idx="141">
                  <c:v>46254</c:v>
                </c:pt>
                <c:pt idx="142">
                  <c:v>46255</c:v>
                </c:pt>
                <c:pt idx="143">
                  <c:v>46256</c:v>
                </c:pt>
                <c:pt idx="144">
                  <c:v>46257</c:v>
                </c:pt>
                <c:pt idx="145">
                  <c:v>46258</c:v>
                </c:pt>
                <c:pt idx="146">
                  <c:v>46259</c:v>
                </c:pt>
                <c:pt idx="147">
                  <c:v>46260</c:v>
                </c:pt>
                <c:pt idx="148">
                  <c:v>46261</c:v>
                </c:pt>
                <c:pt idx="149">
                  <c:v>46262</c:v>
                </c:pt>
                <c:pt idx="150">
                  <c:v>46263</c:v>
                </c:pt>
                <c:pt idx="151">
                  <c:v>46264</c:v>
                </c:pt>
                <c:pt idx="152">
                  <c:v>46265</c:v>
                </c:pt>
                <c:pt idx="153">
                  <c:v>46266</c:v>
                </c:pt>
                <c:pt idx="154">
                  <c:v>46267</c:v>
                </c:pt>
                <c:pt idx="155">
                  <c:v>46268</c:v>
                </c:pt>
                <c:pt idx="156">
                  <c:v>46269</c:v>
                </c:pt>
                <c:pt idx="157">
                  <c:v>46270</c:v>
                </c:pt>
                <c:pt idx="158">
                  <c:v>46271</c:v>
                </c:pt>
                <c:pt idx="159">
                  <c:v>46272</c:v>
                </c:pt>
                <c:pt idx="160">
                  <c:v>46273</c:v>
                </c:pt>
                <c:pt idx="161">
                  <c:v>46274</c:v>
                </c:pt>
                <c:pt idx="162">
                  <c:v>46275</c:v>
                </c:pt>
                <c:pt idx="163">
                  <c:v>46276</c:v>
                </c:pt>
                <c:pt idx="164">
                  <c:v>46277</c:v>
                </c:pt>
                <c:pt idx="165">
                  <c:v>46278</c:v>
                </c:pt>
                <c:pt idx="166">
                  <c:v>46279</c:v>
                </c:pt>
                <c:pt idx="167">
                  <c:v>46280</c:v>
                </c:pt>
                <c:pt idx="168">
                  <c:v>46281</c:v>
                </c:pt>
                <c:pt idx="169">
                  <c:v>46282</c:v>
                </c:pt>
                <c:pt idx="170">
                  <c:v>46283</c:v>
                </c:pt>
                <c:pt idx="171">
                  <c:v>46284</c:v>
                </c:pt>
                <c:pt idx="172">
                  <c:v>46285</c:v>
                </c:pt>
                <c:pt idx="173">
                  <c:v>46286</c:v>
                </c:pt>
                <c:pt idx="174">
                  <c:v>46287</c:v>
                </c:pt>
                <c:pt idx="175">
                  <c:v>46288</c:v>
                </c:pt>
                <c:pt idx="176">
                  <c:v>46289</c:v>
                </c:pt>
                <c:pt idx="177">
                  <c:v>46290</c:v>
                </c:pt>
                <c:pt idx="178">
                  <c:v>46291</c:v>
                </c:pt>
                <c:pt idx="179">
                  <c:v>46292</c:v>
                </c:pt>
                <c:pt idx="180">
                  <c:v>46293</c:v>
                </c:pt>
                <c:pt idx="181">
                  <c:v>46294</c:v>
                </c:pt>
                <c:pt idx="182">
                  <c:v>46295</c:v>
                </c:pt>
                <c:pt idx="183">
                  <c:v>46296</c:v>
                </c:pt>
                <c:pt idx="184">
                  <c:v>46297</c:v>
                </c:pt>
                <c:pt idx="185">
                  <c:v>46298</c:v>
                </c:pt>
                <c:pt idx="186">
                  <c:v>46299</c:v>
                </c:pt>
                <c:pt idx="187">
                  <c:v>46300</c:v>
                </c:pt>
                <c:pt idx="188">
                  <c:v>46301</c:v>
                </c:pt>
                <c:pt idx="189">
                  <c:v>46302</c:v>
                </c:pt>
                <c:pt idx="190">
                  <c:v>46303</c:v>
                </c:pt>
                <c:pt idx="191">
                  <c:v>46304</c:v>
                </c:pt>
                <c:pt idx="192">
                  <c:v>46305</c:v>
                </c:pt>
                <c:pt idx="193">
                  <c:v>46306</c:v>
                </c:pt>
                <c:pt idx="194">
                  <c:v>46307</c:v>
                </c:pt>
                <c:pt idx="195">
                  <c:v>46308</c:v>
                </c:pt>
                <c:pt idx="196">
                  <c:v>46309</c:v>
                </c:pt>
                <c:pt idx="197">
                  <c:v>46310</c:v>
                </c:pt>
                <c:pt idx="198">
                  <c:v>46311</c:v>
                </c:pt>
                <c:pt idx="199">
                  <c:v>46312</c:v>
                </c:pt>
                <c:pt idx="200">
                  <c:v>46313</c:v>
                </c:pt>
                <c:pt idx="201">
                  <c:v>46314</c:v>
                </c:pt>
                <c:pt idx="202">
                  <c:v>46315</c:v>
                </c:pt>
                <c:pt idx="203">
                  <c:v>46316</c:v>
                </c:pt>
                <c:pt idx="204">
                  <c:v>46317</c:v>
                </c:pt>
                <c:pt idx="205">
                  <c:v>46318</c:v>
                </c:pt>
                <c:pt idx="206">
                  <c:v>46319</c:v>
                </c:pt>
                <c:pt idx="207">
                  <c:v>46320</c:v>
                </c:pt>
                <c:pt idx="208">
                  <c:v>46321</c:v>
                </c:pt>
                <c:pt idx="209">
                  <c:v>46322</c:v>
                </c:pt>
                <c:pt idx="210">
                  <c:v>46323</c:v>
                </c:pt>
                <c:pt idx="211">
                  <c:v>46324</c:v>
                </c:pt>
                <c:pt idx="212">
                  <c:v>46325</c:v>
                </c:pt>
                <c:pt idx="213">
                  <c:v>46326</c:v>
                </c:pt>
                <c:pt idx="214">
                  <c:v>46327</c:v>
                </c:pt>
                <c:pt idx="215">
                  <c:v>46328</c:v>
                </c:pt>
                <c:pt idx="216">
                  <c:v>46329</c:v>
                </c:pt>
                <c:pt idx="217">
                  <c:v>46330</c:v>
                </c:pt>
                <c:pt idx="218">
                  <c:v>46331</c:v>
                </c:pt>
                <c:pt idx="219">
                  <c:v>46332</c:v>
                </c:pt>
                <c:pt idx="220">
                  <c:v>46333</c:v>
                </c:pt>
                <c:pt idx="221">
                  <c:v>46334</c:v>
                </c:pt>
                <c:pt idx="222">
                  <c:v>46335</c:v>
                </c:pt>
                <c:pt idx="223">
                  <c:v>46336</c:v>
                </c:pt>
                <c:pt idx="224">
                  <c:v>46337</c:v>
                </c:pt>
                <c:pt idx="225">
                  <c:v>46338</c:v>
                </c:pt>
                <c:pt idx="226">
                  <c:v>46339</c:v>
                </c:pt>
                <c:pt idx="227">
                  <c:v>46340</c:v>
                </c:pt>
                <c:pt idx="228">
                  <c:v>46341</c:v>
                </c:pt>
                <c:pt idx="229">
                  <c:v>46342</c:v>
                </c:pt>
                <c:pt idx="230">
                  <c:v>46343</c:v>
                </c:pt>
                <c:pt idx="231">
                  <c:v>46344</c:v>
                </c:pt>
                <c:pt idx="232">
                  <c:v>46345</c:v>
                </c:pt>
                <c:pt idx="233">
                  <c:v>46346</c:v>
                </c:pt>
                <c:pt idx="234">
                  <c:v>46347</c:v>
                </c:pt>
                <c:pt idx="235">
                  <c:v>46348</c:v>
                </c:pt>
                <c:pt idx="236">
                  <c:v>46349</c:v>
                </c:pt>
                <c:pt idx="237">
                  <c:v>46350</c:v>
                </c:pt>
                <c:pt idx="238">
                  <c:v>46351</c:v>
                </c:pt>
                <c:pt idx="239">
                  <c:v>46352</c:v>
                </c:pt>
                <c:pt idx="240">
                  <c:v>46353</c:v>
                </c:pt>
                <c:pt idx="241">
                  <c:v>46354</c:v>
                </c:pt>
                <c:pt idx="242">
                  <c:v>46355</c:v>
                </c:pt>
                <c:pt idx="243">
                  <c:v>46356</c:v>
                </c:pt>
                <c:pt idx="244">
                  <c:v>46357</c:v>
                </c:pt>
                <c:pt idx="245">
                  <c:v>46358</c:v>
                </c:pt>
                <c:pt idx="246">
                  <c:v>46359</c:v>
                </c:pt>
                <c:pt idx="247">
                  <c:v>46360</c:v>
                </c:pt>
                <c:pt idx="248">
                  <c:v>46361</c:v>
                </c:pt>
                <c:pt idx="249">
                  <c:v>46362</c:v>
                </c:pt>
                <c:pt idx="250">
                  <c:v>46363</c:v>
                </c:pt>
                <c:pt idx="251">
                  <c:v>46364</c:v>
                </c:pt>
                <c:pt idx="252">
                  <c:v>46365</c:v>
                </c:pt>
                <c:pt idx="253">
                  <c:v>46366</c:v>
                </c:pt>
                <c:pt idx="254">
                  <c:v>46367</c:v>
                </c:pt>
                <c:pt idx="255">
                  <c:v>46368</c:v>
                </c:pt>
                <c:pt idx="256">
                  <c:v>46369</c:v>
                </c:pt>
                <c:pt idx="257">
                  <c:v>46370</c:v>
                </c:pt>
                <c:pt idx="258">
                  <c:v>46371</c:v>
                </c:pt>
                <c:pt idx="259">
                  <c:v>46372</c:v>
                </c:pt>
                <c:pt idx="260">
                  <c:v>46373</c:v>
                </c:pt>
                <c:pt idx="261">
                  <c:v>46374</c:v>
                </c:pt>
                <c:pt idx="262">
                  <c:v>46375</c:v>
                </c:pt>
                <c:pt idx="263">
                  <c:v>46376</c:v>
                </c:pt>
                <c:pt idx="264">
                  <c:v>46377</c:v>
                </c:pt>
                <c:pt idx="265">
                  <c:v>46378</c:v>
                </c:pt>
                <c:pt idx="266">
                  <c:v>46379</c:v>
                </c:pt>
                <c:pt idx="267">
                  <c:v>46380</c:v>
                </c:pt>
                <c:pt idx="268">
                  <c:v>46381</c:v>
                </c:pt>
                <c:pt idx="269">
                  <c:v>46382</c:v>
                </c:pt>
                <c:pt idx="270">
                  <c:v>46383</c:v>
                </c:pt>
                <c:pt idx="271">
                  <c:v>46384</c:v>
                </c:pt>
                <c:pt idx="272">
                  <c:v>46385</c:v>
                </c:pt>
                <c:pt idx="273">
                  <c:v>46386</c:v>
                </c:pt>
                <c:pt idx="274">
                  <c:v>46387</c:v>
                </c:pt>
                <c:pt idx="275">
                  <c:v>46388</c:v>
                </c:pt>
                <c:pt idx="276">
                  <c:v>46389</c:v>
                </c:pt>
                <c:pt idx="277">
                  <c:v>46390</c:v>
                </c:pt>
                <c:pt idx="278">
                  <c:v>46391</c:v>
                </c:pt>
                <c:pt idx="279">
                  <c:v>46392</c:v>
                </c:pt>
                <c:pt idx="280">
                  <c:v>46393</c:v>
                </c:pt>
                <c:pt idx="281">
                  <c:v>46394</c:v>
                </c:pt>
                <c:pt idx="282">
                  <c:v>46395</c:v>
                </c:pt>
                <c:pt idx="283">
                  <c:v>46396</c:v>
                </c:pt>
                <c:pt idx="284">
                  <c:v>46397</c:v>
                </c:pt>
                <c:pt idx="285">
                  <c:v>46398</c:v>
                </c:pt>
                <c:pt idx="286">
                  <c:v>46399</c:v>
                </c:pt>
                <c:pt idx="287">
                  <c:v>46400</c:v>
                </c:pt>
                <c:pt idx="288">
                  <c:v>46401</c:v>
                </c:pt>
                <c:pt idx="289">
                  <c:v>46402</c:v>
                </c:pt>
                <c:pt idx="290">
                  <c:v>46403</c:v>
                </c:pt>
                <c:pt idx="291">
                  <c:v>46404</c:v>
                </c:pt>
                <c:pt idx="292">
                  <c:v>46405</c:v>
                </c:pt>
                <c:pt idx="293">
                  <c:v>46406</c:v>
                </c:pt>
                <c:pt idx="294">
                  <c:v>46407</c:v>
                </c:pt>
                <c:pt idx="295">
                  <c:v>46408</c:v>
                </c:pt>
                <c:pt idx="296">
                  <c:v>46409</c:v>
                </c:pt>
                <c:pt idx="297">
                  <c:v>46410</c:v>
                </c:pt>
                <c:pt idx="298">
                  <c:v>46411</c:v>
                </c:pt>
                <c:pt idx="299">
                  <c:v>46412</c:v>
                </c:pt>
                <c:pt idx="300">
                  <c:v>46413</c:v>
                </c:pt>
                <c:pt idx="301">
                  <c:v>46414</c:v>
                </c:pt>
                <c:pt idx="302">
                  <c:v>46415</c:v>
                </c:pt>
                <c:pt idx="303">
                  <c:v>46416</c:v>
                </c:pt>
                <c:pt idx="304">
                  <c:v>46417</c:v>
                </c:pt>
                <c:pt idx="305">
                  <c:v>46418</c:v>
                </c:pt>
                <c:pt idx="306">
                  <c:v>46419</c:v>
                </c:pt>
                <c:pt idx="307">
                  <c:v>46420</c:v>
                </c:pt>
                <c:pt idx="308">
                  <c:v>46421</c:v>
                </c:pt>
                <c:pt idx="309">
                  <c:v>46422</c:v>
                </c:pt>
                <c:pt idx="310">
                  <c:v>46423</c:v>
                </c:pt>
                <c:pt idx="311">
                  <c:v>46424</c:v>
                </c:pt>
                <c:pt idx="312">
                  <c:v>46425</c:v>
                </c:pt>
                <c:pt idx="313">
                  <c:v>46426</c:v>
                </c:pt>
                <c:pt idx="314">
                  <c:v>46427</c:v>
                </c:pt>
                <c:pt idx="315">
                  <c:v>46428</c:v>
                </c:pt>
                <c:pt idx="316">
                  <c:v>46429</c:v>
                </c:pt>
                <c:pt idx="317">
                  <c:v>46430</c:v>
                </c:pt>
                <c:pt idx="318">
                  <c:v>46431</c:v>
                </c:pt>
                <c:pt idx="319">
                  <c:v>46432</c:v>
                </c:pt>
                <c:pt idx="320">
                  <c:v>46433</c:v>
                </c:pt>
                <c:pt idx="321">
                  <c:v>46434</c:v>
                </c:pt>
                <c:pt idx="322">
                  <c:v>46435</c:v>
                </c:pt>
                <c:pt idx="323">
                  <c:v>46436</c:v>
                </c:pt>
                <c:pt idx="324">
                  <c:v>46437</c:v>
                </c:pt>
                <c:pt idx="325">
                  <c:v>46438</c:v>
                </c:pt>
                <c:pt idx="326">
                  <c:v>46439</c:v>
                </c:pt>
                <c:pt idx="327">
                  <c:v>46440</c:v>
                </c:pt>
                <c:pt idx="328">
                  <c:v>46441</c:v>
                </c:pt>
                <c:pt idx="329">
                  <c:v>46442</c:v>
                </c:pt>
                <c:pt idx="330">
                  <c:v>46443</c:v>
                </c:pt>
                <c:pt idx="331">
                  <c:v>46444</c:v>
                </c:pt>
                <c:pt idx="332">
                  <c:v>46445</c:v>
                </c:pt>
                <c:pt idx="333">
                  <c:v>46446</c:v>
                </c:pt>
                <c:pt idx="334">
                  <c:v>46447</c:v>
                </c:pt>
                <c:pt idx="335">
                  <c:v>46448</c:v>
                </c:pt>
                <c:pt idx="336">
                  <c:v>46449</c:v>
                </c:pt>
                <c:pt idx="337">
                  <c:v>46450</c:v>
                </c:pt>
                <c:pt idx="338">
                  <c:v>46451</c:v>
                </c:pt>
                <c:pt idx="339">
                  <c:v>46452</c:v>
                </c:pt>
                <c:pt idx="340">
                  <c:v>46453</c:v>
                </c:pt>
                <c:pt idx="341">
                  <c:v>46454</c:v>
                </c:pt>
                <c:pt idx="342">
                  <c:v>46455</c:v>
                </c:pt>
                <c:pt idx="343">
                  <c:v>46456</c:v>
                </c:pt>
                <c:pt idx="344">
                  <c:v>46457</c:v>
                </c:pt>
                <c:pt idx="345">
                  <c:v>46458</c:v>
                </c:pt>
                <c:pt idx="346">
                  <c:v>46459</c:v>
                </c:pt>
                <c:pt idx="347">
                  <c:v>46460</c:v>
                </c:pt>
                <c:pt idx="348">
                  <c:v>46461</c:v>
                </c:pt>
                <c:pt idx="349">
                  <c:v>46462</c:v>
                </c:pt>
                <c:pt idx="350">
                  <c:v>46463</c:v>
                </c:pt>
                <c:pt idx="351">
                  <c:v>46464</c:v>
                </c:pt>
                <c:pt idx="352">
                  <c:v>46465</c:v>
                </c:pt>
                <c:pt idx="353">
                  <c:v>46466</c:v>
                </c:pt>
                <c:pt idx="354">
                  <c:v>46467</c:v>
                </c:pt>
                <c:pt idx="355">
                  <c:v>46468</c:v>
                </c:pt>
                <c:pt idx="356">
                  <c:v>46469</c:v>
                </c:pt>
                <c:pt idx="357">
                  <c:v>46470</c:v>
                </c:pt>
                <c:pt idx="358">
                  <c:v>46471</c:v>
                </c:pt>
                <c:pt idx="359">
                  <c:v>46472</c:v>
                </c:pt>
                <c:pt idx="360">
                  <c:v>46473</c:v>
                </c:pt>
                <c:pt idx="361">
                  <c:v>46474</c:v>
                </c:pt>
                <c:pt idx="362">
                  <c:v>46475</c:v>
                </c:pt>
                <c:pt idx="363">
                  <c:v>46476</c:v>
                </c:pt>
              </c:numCache>
            </c:numRef>
          </c:cat>
          <c:val>
            <c:numRef>
              <c:f>Profils!$J$2:$J$365</c:f>
              <c:numCache>
                <c:formatCode>General</c:formatCode>
                <c:ptCount val="364"/>
                <c:pt idx="0">
                  <c:v>1.29351203</c:v>
                </c:pt>
                <c:pt idx="1">
                  <c:v>1.27378006</c:v>
                </c:pt>
                <c:pt idx="2">
                  <c:v>1.2525205800000001</c:v>
                </c:pt>
                <c:pt idx="3">
                  <c:v>1.1313595400000001</c:v>
                </c:pt>
                <c:pt idx="4">
                  <c:v>1.1121692999999999</c:v>
                </c:pt>
                <c:pt idx="5">
                  <c:v>1.0929587300000001</c:v>
                </c:pt>
                <c:pt idx="6">
                  <c:v>1.1732643300000001</c:v>
                </c:pt>
                <c:pt idx="7">
                  <c:v>1.1518931400000001</c:v>
                </c:pt>
                <c:pt idx="8">
                  <c:v>1.13350788</c:v>
                </c:pt>
                <c:pt idx="9">
                  <c:v>1.1136001099999999</c:v>
                </c:pt>
                <c:pt idx="10">
                  <c:v>0.99662379000000001</c:v>
                </c:pt>
                <c:pt idx="11">
                  <c:v>0.97877026</c:v>
                </c:pt>
                <c:pt idx="12">
                  <c:v>1.05677358</c:v>
                </c:pt>
                <c:pt idx="13">
                  <c:v>1.03529235</c:v>
                </c:pt>
                <c:pt idx="14">
                  <c:v>1.0168014700000001</c:v>
                </c:pt>
                <c:pt idx="15">
                  <c:v>0.99829559000000001</c:v>
                </c:pt>
                <c:pt idx="16">
                  <c:v>0.98127850999999999</c:v>
                </c:pt>
                <c:pt idx="17">
                  <c:v>0.86841301999999998</c:v>
                </c:pt>
                <c:pt idx="18">
                  <c:v>0.85046392000000004</c:v>
                </c:pt>
                <c:pt idx="19">
                  <c:v>0.92413692000000003</c:v>
                </c:pt>
                <c:pt idx="20">
                  <c:v>0.90556716999999998</c:v>
                </c:pt>
                <c:pt idx="21">
                  <c:v>0.88848989</c:v>
                </c:pt>
                <c:pt idx="22">
                  <c:v>0.86989972999999998</c:v>
                </c:pt>
                <c:pt idx="23">
                  <c:v>0.85130044999999999</c:v>
                </c:pt>
                <c:pt idx="24">
                  <c:v>0.74402789000000003</c:v>
                </c:pt>
                <c:pt idx="25">
                  <c:v>0.72748126000000002</c:v>
                </c:pt>
                <c:pt idx="26">
                  <c:v>0.79695808000000001</c:v>
                </c:pt>
                <c:pt idx="27">
                  <c:v>0.77983248999999999</c:v>
                </c:pt>
                <c:pt idx="28">
                  <c:v>0.76270130000000003</c:v>
                </c:pt>
                <c:pt idx="29">
                  <c:v>0.74406214000000004</c:v>
                </c:pt>
                <c:pt idx="30">
                  <c:v>0.64173495999999997</c:v>
                </c:pt>
                <c:pt idx="31">
                  <c:v>0.62369436</c:v>
                </c:pt>
                <c:pt idx="32">
                  <c:v>0.60565108999999995</c:v>
                </c:pt>
                <c:pt idx="33">
                  <c:v>0.67247577000000003</c:v>
                </c:pt>
                <c:pt idx="34">
                  <c:v>0.65382194999999999</c:v>
                </c:pt>
                <c:pt idx="35">
                  <c:v>0.63667015999999998</c:v>
                </c:pt>
                <c:pt idx="36">
                  <c:v>0.61951796999999997</c:v>
                </c:pt>
                <c:pt idx="37">
                  <c:v>0.51981078999999997</c:v>
                </c:pt>
                <c:pt idx="38">
                  <c:v>0.50322880999999997</c:v>
                </c:pt>
                <c:pt idx="39">
                  <c:v>0.48518286999999999</c:v>
                </c:pt>
                <c:pt idx="40">
                  <c:v>0.54640805000000003</c:v>
                </c:pt>
                <c:pt idx="41">
                  <c:v>0.52775969</c:v>
                </c:pt>
                <c:pt idx="42">
                  <c:v>0.51061745999999997</c:v>
                </c:pt>
                <c:pt idx="43">
                  <c:v>0.41448726000000002</c:v>
                </c:pt>
                <c:pt idx="44">
                  <c:v>0.47333827000000001</c:v>
                </c:pt>
                <c:pt idx="45">
                  <c:v>0.37842751000000002</c:v>
                </c:pt>
                <c:pt idx="46">
                  <c:v>0.36040445999999998</c:v>
                </c:pt>
                <c:pt idx="47">
                  <c:v>0.41595264999999998</c:v>
                </c:pt>
                <c:pt idx="48">
                  <c:v>0.39733678</c:v>
                </c:pt>
                <c:pt idx="49">
                  <c:v>0.37722450000000002</c:v>
                </c:pt>
                <c:pt idx="50">
                  <c:v>0.35862235999999997</c:v>
                </c:pt>
                <c:pt idx="51">
                  <c:v>0.34002778</c:v>
                </c:pt>
                <c:pt idx="52">
                  <c:v>0.28893153999999999</c:v>
                </c:pt>
                <c:pt idx="53">
                  <c:v>0.28707094</c:v>
                </c:pt>
                <c:pt idx="54">
                  <c:v>0.28521841999999997</c:v>
                </c:pt>
                <c:pt idx="55">
                  <c:v>0.31544407000000002</c:v>
                </c:pt>
                <c:pt idx="56">
                  <c:v>0.31342733</c:v>
                </c:pt>
                <c:pt idx="57">
                  <c:v>0.31142068000000001</c:v>
                </c:pt>
                <c:pt idx="58">
                  <c:v>0.30942452999999998</c:v>
                </c:pt>
                <c:pt idx="59">
                  <c:v>0.27608989</c:v>
                </c:pt>
                <c:pt idx="60">
                  <c:v>0.27429353000000001</c:v>
                </c:pt>
                <c:pt idx="61">
                  <c:v>0.30350289000000003</c:v>
                </c:pt>
                <c:pt idx="62">
                  <c:v>0.30155252999999999</c:v>
                </c:pt>
                <c:pt idx="63">
                  <c:v>0.29961452999999999</c:v>
                </c:pt>
                <c:pt idx="64">
                  <c:v>0.29768926000000001</c:v>
                </c:pt>
                <c:pt idx="65">
                  <c:v>0.29577705999999998</c:v>
                </c:pt>
                <c:pt idx="66">
                  <c:v>0.26374926999999998</c:v>
                </c:pt>
                <c:pt idx="67">
                  <c:v>0.26203389999999999</c:v>
                </c:pt>
                <c:pt idx="68">
                  <c:v>0.29012238000000001</c:v>
                </c:pt>
                <c:pt idx="69">
                  <c:v>0.28826593</c:v>
                </c:pt>
                <c:pt idx="70">
                  <c:v>0.28642425999999999</c:v>
                </c:pt>
                <c:pt idx="71">
                  <c:v>0.28459771</c:v>
                </c:pt>
                <c:pt idx="72">
                  <c:v>0.28278660999999999</c:v>
                </c:pt>
                <c:pt idx="73">
                  <c:v>0.25202198999999997</c:v>
                </c:pt>
                <c:pt idx="74">
                  <c:v>0.25040287999999999</c:v>
                </c:pt>
                <c:pt idx="75">
                  <c:v>0.27744929000000002</c:v>
                </c:pt>
                <c:pt idx="76">
                  <c:v>0.27570328999999999</c:v>
                </c:pt>
                <c:pt idx="77">
                  <c:v>0.27397439000000001</c:v>
                </c:pt>
                <c:pt idx="78">
                  <c:v>0.27226292000000002</c:v>
                </c:pt>
                <c:pt idx="79">
                  <c:v>0.27056922</c:v>
                </c:pt>
                <c:pt idx="80">
                  <c:v>0.24101300000000001</c:v>
                </c:pt>
                <c:pt idx="81">
                  <c:v>0.23950498000000001</c:v>
                </c:pt>
                <c:pt idx="82">
                  <c:v>0.2655981</c:v>
                </c:pt>
                <c:pt idx="83">
                  <c:v>0.26397884999999999</c:v>
                </c:pt>
                <c:pt idx="84">
                  <c:v>0.26237907999999999</c:v>
                </c:pt>
                <c:pt idx="85">
                  <c:v>0.26079912999999999</c:v>
                </c:pt>
                <c:pt idx="86">
                  <c:v>0.25923935999999997</c:v>
                </c:pt>
                <c:pt idx="87">
                  <c:v>0.23082680999999999</c:v>
                </c:pt>
                <c:pt idx="88">
                  <c:v>0.22944511000000001</c:v>
                </c:pt>
                <c:pt idx="89">
                  <c:v>0.25468469999999999</c:v>
                </c:pt>
                <c:pt idx="90">
                  <c:v>0.25320925</c:v>
                </c:pt>
                <c:pt idx="91">
                  <c:v>0.25175582000000002</c:v>
                </c:pt>
                <c:pt idx="92">
                  <c:v>0.25032476999999997</c:v>
                </c:pt>
                <c:pt idx="93">
                  <c:v>0.24891650000000001</c:v>
                </c:pt>
                <c:pt idx="94">
                  <c:v>0.22157317000000001</c:v>
                </c:pt>
                <c:pt idx="95">
                  <c:v>0.22033414000000001</c:v>
                </c:pt>
                <c:pt idx="96">
                  <c:v>0.24483221999999999</c:v>
                </c:pt>
                <c:pt idx="97">
                  <c:v>0.24351898</c:v>
                </c:pt>
                <c:pt idx="98">
                  <c:v>0.24223049999999999</c:v>
                </c:pt>
                <c:pt idx="99">
                  <c:v>0.24096719999999999</c:v>
                </c:pt>
                <c:pt idx="100">
                  <c:v>0.23972948999999999</c:v>
                </c:pt>
                <c:pt idx="101">
                  <c:v>0.21337072000000001</c:v>
                </c:pt>
                <c:pt idx="102">
                  <c:v>0.21229212</c:v>
                </c:pt>
                <c:pt idx="103">
                  <c:v>0.23617414</c:v>
                </c:pt>
                <c:pt idx="104">
                  <c:v>0.21020866999999999</c:v>
                </c:pt>
                <c:pt idx="105">
                  <c:v>0.23393966999999999</c:v>
                </c:pt>
                <c:pt idx="106">
                  <c:v>0.23286446999999999</c:v>
                </c:pt>
                <c:pt idx="107">
                  <c:v>0.23181787000000001</c:v>
                </c:pt>
                <c:pt idx="108">
                  <c:v>0.20634774</c:v>
                </c:pt>
                <c:pt idx="109">
                  <c:v>0.20544858999999999</c:v>
                </c:pt>
                <c:pt idx="110">
                  <c:v>0.2288541</c:v>
                </c:pt>
                <c:pt idx="111">
                  <c:v>0.22792633000000001</c:v>
                </c:pt>
                <c:pt idx="112">
                  <c:v>0.22702937000000001</c:v>
                </c:pt>
                <c:pt idx="113">
                  <c:v>0.22616367000000001</c:v>
                </c:pt>
                <c:pt idx="114">
                  <c:v>0.22532967000000001</c:v>
                </c:pt>
                <c:pt idx="115">
                  <c:v>0.2006397</c:v>
                </c:pt>
                <c:pt idx="116">
                  <c:v>0.19993964</c:v>
                </c:pt>
                <c:pt idx="117">
                  <c:v>0.22302221999999999</c:v>
                </c:pt>
                <c:pt idx="118">
                  <c:v>0.22231938000000001</c:v>
                </c:pt>
                <c:pt idx="119">
                  <c:v>0.2216504</c:v>
                </c:pt>
                <c:pt idx="120">
                  <c:v>0.22101570000000001</c:v>
                </c:pt>
                <c:pt idx="121">
                  <c:v>0.22041570999999999</c:v>
                </c:pt>
                <c:pt idx="122">
                  <c:v>0.19638360999999999</c:v>
                </c:pt>
                <c:pt idx="123">
                  <c:v>0.19590188</c:v>
                </c:pt>
                <c:pt idx="124">
                  <c:v>0.21882799999999999</c:v>
                </c:pt>
                <c:pt idx="125">
                  <c:v>0.21837084000000001</c:v>
                </c:pt>
                <c:pt idx="126">
                  <c:v>0.21795036000000001</c:v>
                </c:pt>
                <c:pt idx="127">
                  <c:v>0.21756692</c:v>
                </c:pt>
                <c:pt idx="128">
                  <c:v>0.21722088000000001</c:v>
                </c:pt>
                <c:pt idx="129">
                  <c:v>0.19370978999999999</c:v>
                </c:pt>
                <c:pt idx="130">
                  <c:v>0.19346389</c:v>
                </c:pt>
                <c:pt idx="131">
                  <c:v>0.21641057999999999</c:v>
                </c:pt>
                <c:pt idx="132">
                  <c:v>0.21621749000000001</c:v>
                </c:pt>
                <c:pt idx="133">
                  <c:v>0.21606341000000001</c:v>
                </c:pt>
                <c:pt idx="134">
                  <c:v>0.21594862000000001</c:v>
                </c:pt>
                <c:pt idx="135">
                  <c:v>0.21587339</c:v>
                </c:pt>
                <c:pt idx="136">
                  <c:v>0.19273187</c:v>
                </c:pt>
                <c:pt idx="137">
                  <c:v>0.19273607000000001</c:v>
                </c:pt>
                <c:pt idx="138">
                  <c:v>0.21588745000000001</c:v>
                </c:pt>
                <c:pt idx="139">
                  <c:v>0.21597276000000001</c:v>
                </c:pt>
                <c:pt idx="140">
                  <c:v>0.21609871999999999</c:v>
                </c:pt>
                <c:pt idx="141">
                  <c:v>0.21626545999999999</c:v>
                </c:pt>
                <c:pt idx="142">
                  <c:v>0.21647313000000001</c:v>
                </c:pt>
                <c:pt idx="143">
                  <c:v>0.19353623</c:v>
                </c:pt>
                <c:pt idx="144">
                  <c:v>0.19380003000000001</c:v>
                </c:pt>
                <c:pt idx="145">
                  <c:v>0.21734286999999999</c:v>
                </c:pt>
                <c:pt idx="146">
                  <c:v>0.21771529000000001</c:v>
                </c:pt>
                <c:pt idx="147">
                  <c:v>0.21812904</c:v>
                </c:pt>
                <c:pt idx="148">
                  <c:v>0.21858412999999999</c:v>
                </c:pt>
                <c:pt idx="149">
                  <c:v>0.21908056000000001</c:v>
                </c:pt>
                <c:pt idx="150">
                  <c:v>0.19617201000000001</c:v>
                </c:pt>
                <c:pt idx="151">
                  <c:v>0.19669890000000001</c:v>
                </c:pt>
                <c:pt idx="152">
                  <c:v>0.22081745999999999</c:v>
                </c:pt>
                <c:pt idx="153">
                  <c:v>0.2214787</c:v>
                </c:pt>
                <c:pt idx="154">
                  <c:v>0.22218089999999999</c:v>
                </c:pt>
                <c:pt idx="155">
                  <c:v>0.22292389000000001</c:v>
                </c:pt>
                <c:pt idx="156">
                  <c:v>0.22370751999999999</c:v>
                </c:pt>
                <c:pt idx="157">
                  <c:v>0.20064314999999999</c:v>
                </c:pt>
                <c:pt idx="158">
                  <c:v>0.20142964999999999</c:v>
                </c:pt>
                <c:pt idx="159">
                  <c:v>0.22630011999999999</c:v>
                </c:pt>
                <c:pt idx="160">
                  <c:v>0.22724407999999999</c:v>
                </c:pt>
                <c:pt idx="161">
                  <c:v>0.22822744</c:v>
                </c:pt>
                <c:pt idx="162">
                  <c:v>0.22924991</c:v>
                </c:pt>
                <c:pt idx="163">
                  <c:v>0.23031113</c:v>
                </c:pt>
                <c:pt idx="164">
                  <c:v>0.20690323999999999</c:v>
                </c:pt>
                <c:pt idx="165">
                  <c:v>0.20793849</c:v>
                </c:pt>
                <c:pt idx="166">
                  <c:v>0.23372359000000001</c:v>
                </c:pt>
                <c:pt idx="167">
                  <c:v>0.23493597999999999</c:v>
                </c:pt>
                <c:pt idx="168">
                  <c:v>0.23618508999999999</c:v>
                </c:pt>
                <c:pt idx="169">
                  <c:v>0.23747044</c:v>
                </c:pt>
                <c:pt idx="170">
                  <c:v>0.23879153</c:v>
                </c:pt>
                <c:pt idx="171">
                  <c:v>0.21485408</c:v>
                </c:pt>
                <c:pt idx="172">
                  <c:v>0.21611991</c:v>
                </c:pt>
                <c:pt idx="173">
                  <c:v>0.24296398999999999</c:v>
                </c:pt>
                <c:pt idx="174">
                  <c:v>0.24442267000000001</c:v>
                </c:pt>
                <c:pt idx="175">
                  <c:v>0.24591431999999999</c:v>
                </c:pt>
                <c:pt idx="176">
                  <c:v>0.2474383</c:v>
                </c:pt>
                <c:pt idx="177">
                  <c:v>0.24899399</c:v>
                </c:pt>
                <c:pt idx="178">
                  <c:v>0.22434812000000001</c:v>
                </c:pt>
                <c:pt idx="179">
                  <c:v>0.22581973</c:v>
                </c:pt>
                <c:pt idx="180">
                  <c:v>0.30483881000000002</c:v>
                </c:pt>
                <c:pt idx="181">
                  <c:v>0.32455128</c:v>
                </c:pt>
                <c:pt idx="182">
                  <c:v>0.34579510000000002</c:v>
                </c:pt>
                <c:pt idx="183">
                  <c:v>0.36856955000000002</c:v>
                </c:pt>
                <c:pt idx="184">
                  <c:v>0.39137084999999999</c:v>
                </c:pt>
                <c:pt idx="185">
                  <c:v>0.34224376000000001</c:v>
                </c:pt>
                <c:pt idx="186">
                  <c:v>0.3644039</c:v>
                </c:pt>
                <c:pt idx="187">
                  <c:v>0.45842519999999998</c:v>
                </c:pt>
                <c:pt idx="188">
                  <c:v>0.47982322999999999</c:v>
                </c:pt>
                <c:pt idx="189">
                  <c:v>0.50274730000000001</c:v>
                </c:pt>
                <c:pt idx="190">
                  <c:v>0.52569357000000005</c:v>
                </c:pt>
                <c:pt idx="191">
                  <c:v>0.55016429</c:v>
                </c:pt>
                <c:pt idx="192">
                  <c:v>0.49780911</c:v>
                </c:pt>
                <c:pt idx="193">
                  <c:v>0.52157580000000003</c:v>
                </c:pt>
                <c:pt idx="194">
                  <c:v>0.62069061999999997</c:v>
                </c:pt>
                <c:pt idx="195">
                  <c:v>0.64373574</c:v>
                </c:pt>
                <c:pt idx="196">
                  <c:v>0.66980426000000004</c:v>
                </c:pt>
                <c:pt idx="197">
                  <c:v>0.69438622000000005</c:v>
                </c:pt>
                <c:pt idx="198">
                  <c:v>0.71748076999999999</c:v>
                </c:pt>
                <c:pt idx="199">
                  <c:v>0.66304666000000001</c:v>
                </c:pt>
                <c:pt idx="200">
                  <c:v>0.68691831000000003</c:v>
                </c:pt>
                <c:pt idx="201">
                  <c:v>0.79286223</c:v>
                </c:pt>
                <c:pt idx="202">
                  <c:v>0.81751415000000005</c:v>
                </c:pt>
                <c:pt idx="203">
                  <c:v>0.84368061999999999</c:v>
                </c:pt>
                <c:pt idx="204">
                  <c:v>0.8668517</c:v>
                </c:pt>
                <c:pt idx="205">
                  <c:v>0.89303874999999999</c:v>
                </c:pt>
                <c:pt idx="206">
                  <c:v>0.83183872000000003</c:v>
                </c:pt>
                <c:pt idx="207">
                  <c:v>0.85577853000000004</c:v>
                </c:pt>
                <c:pt idx="208">
                  <c:v>0.96864499000000004</c:v>
                </c:pt>
                <c:pt idx="209">
                  <c:v>0.99486350000000001</c:v>
                </c:pt>
                <c:pt idx="210">
                  <c:v>1.01958485</c:v>
                </c:pt>
                <c:pt idx="211">
                  <c:v>1.0458143499999999</c:v>
                </c:pt>
                <c:pt idx="212">
                  <c:v>1.0705451399999999</c:v>
                </c:pt>
                <c:pt idx="213">
                  <c:v>1.0039306699999999</c:v>
                </c:pt>
                <c:pt idx="214">
                  <c:v>1.0279031199999999</c:v>
                </c:pt>
                <c:pt idx="215">
                  <c:v>1.1447559700000001</c:v>
                </c:pt>
                <c:pt idx="216">
                  <c:v>1.17099964</c:v>
                </c:pt>
                <c:pt idx="217">
                  <c:v>1.1942378499999999</c:v>
                </c:pt>
                <c:pt idx="218">
                  <c:v>1.22048208</c:v>
                </c:pt>
                <c:pt idx="219">
                  <c:v>1.2437194300000001</c:v>
                </c:pt>
                <c:pt idx="220">
                  <c:v>1.17175469</c:v>
                </c:pt>
                <c:pt idx="221">
                  <c:v>1.1942615700000001</c:v>
                </c:pt>
                <c:pt idx="222">
                  <c:v>1.31642612</c:v>
                </c:pt>
                <c:pt idx="223">
                  <c:v>1.33965362</c:v>
                </c:pt>
                <c:pt idx="224">
                  <c:v>1.2632297699999999</c:v>
                </c:pt>
                <c:pt idx="225">
                  <c:v>1.38459267</c:v>
                </c:pt>
                <c:pt idx="226">
                  <c:v>1.40930909</c:v>
                </c:pt>
                <c:pt idx="227">
                  <c:v>1.3306942100000001</c:v>
                </c:pt>
                <c:pt idx="228">
                  <c:v>1.35024078</c:v>
                </c:pt>
                <c:pt idx="229">
                  <c:v>1.47590515</c:v>
                </c:pt>
                <c:pt idx="230">
                  <c:v>1.4960852099999999</c:v>
                </c:pt>
                <c:pt idx="231">
                  <c:v>1.51776011</c:v>
                </c:pt>
                <c:pt idx="232">
                  <c:v>1.5394262700000001</c:v>
                </c:pt>
                <c:pt idx="233">
                  <c:v>1.55958011</c:v>
                </c:pt>
                <c:pt idx="234">
                  <c:v>1.4732279399999999</c:v>
                </c:pt>
                <c:pt idx="235">
                  <c:v>1.49271895</c:v>
                </c:pt>
                <c:pt idx="236">
                  <c:v>1.61847787</c:v>
                </c:pt>
                <c:pt idx="237">
                  <c:v>1.63708655</c:v>
                </c:pt>
                <c:pt idx="238">
                  <c:v>1.65568352</c:v>
                </c:pt>
                <c:pt idx="239">
                  <c:v>1.6727652500000001</c:v>
                </c:pt>
                <c:pt idx="240">
                  <c:v>1.69133741</c:v>
                </c:pt>
                <c:pt idx="241">
                  <c:v>1.59918772</c:v>
                </c:pt>
                <c:pt idx="242">
                  <c:v>1.6142056600000001</c:v>
                </c:pt>
                <c:pt idx="243">
                  <c:v>1.7424647</c:v>
                </c:pt>
                <c:pt idx="244">
                  <c:v>1.75947907</c:v>
                </c:pt>
                <c:pt idx="245">
                  <c:v>1.7749756800000001</c:v>
                </c:pt>
                <c:pt idx="246">
                  <c:v>1.7904571899999999</c:v>
                </c:pt>
                <c:pt idx="247">
                  <c:v>1.8044201900000001</c:v>
                </c:pt>
                <c:pt idx="248">
                  <c:v>1.70403495</c:v>
                </c:pt>
                <c:pt idx="249">
                  <c:v>1.7189568500000001</c:v>
                </c:pt>
                <c:pt idx="250">
                  <c:v>1.8477156699999999</c:v>
                </c:pt>
                <c:pt idx="251">
                  <c:v>1.8601100500000001</c:v>
                </c:pt>
                <c:pt idx="252">
                  <c:v>1.8724871599999999</c:v>
                </c:pt>
                <c:pt idx="253">
                  <c:v>1.8848466500000001</c:v>
                </c:pt>
                <c:pt idx="254">
                  <c:v>1.8971881799999999</c:v>
                </c:pt>
                <c:pt idx="255">
                  <c:v>1.7920430300000001</c:v>
                </c:pt>
                <c:pt idx="256">
                  <c:v>1.8024571199999999</c:v>
                </c:pt>
                <c:pt idx="257">
                  <c:v>1.9310956500000001</c:v>
                </c:pt>
                <c:pt idx="258">
                  <c:v>1.9418590200000001</c:v>
                </c:pt>
                <c:pt idx="259">
                  <c:v>1.9526028099999999</c:v>
                </c:pt>
                <c:pt idx="260">
                  <c:v>1.96182364</c:v>
                </c:pt>
                <c:pt idx="261">
                  <c:v>1.9710242600000001</c:v>
                </c:pt>
                <c:pt idx="262">
                  <c:v>1.86017382</c:v>
                </c:pt>
                <c:pt idx="263">
                  <c:v>1.86899594</c:v>
                </c:pt>
                <c:pt idx="264">
                  <c:v>1.9985016600000001</c:v>
                </c:pt>
                <c:pt idx="265">
                  <c:v>2.00761827</c:v>
                </c:pt>
                <c:pt idx="266">
                  <c:v>2.0152100499999999</c:v>
                </c:pt>
                <c:pt idx="267">
                  <c:v>2.0227797299999999</c:v>
                </c:pt>
                <c:pt idx="268">
                  <c:v>1.9084163700000001</c:v>
                </c:pt>
                <c:pt idx="269">
                  <c:v>1.91565348</c:v>
                </c:pt>
                <c:pt idx="270">
                  <c:v>1.9228696199999999</c:v>
                </c:pt>
                <c:pt idx="271">
                  <c:v>2.0513281399999999</c:v>
                </c:pt>
                <c:pt idx="272">
                  <c:v>2.05727956</c:v>
                </c:pt>
                <c:pt idx="273">
                  <c:v>2.0632069899999999</c:v>
                </c:pt>
                <c:pt idx="274">
                  <c:v>2.0706131399999999</c:v>
                </c:pt>
                <c:pt idx="275">
                  <c:v>1.9512995799999999</c:v>
                </c:pt>
                <c:pt idx="276">
                  <c:v>1.9569185899999999</c:v>
                </c:pt>
                <c:pt idx="277">
                  <c:v>1.9610493499999999</c:v>
                </c:pt>
                <c:pt idx="278">
                  <c:v>2.0909697299999999</c:v>
                </c:pt>
                <c:pt idx="279">
                  <c:v>2.0952432700000001</c:v>
                </c:pt>
                <c:pt idx="280">
                  <c:v>2.10099356</c:v>
                </c:pt>
                <c:pt idx="281">
                  <c:v>2.1052141500000001</c:v>
                </c:pt>
                <c:pt idx="282">
                  <c:v>2.1094077599999999</c:v>
                </c:pt>
                <c:pt idx="283">
                  <c:v>1.9882638100000001</c:v>
                </c:pt>
                <c:pt idx="284">
                  <c:v>1.9922248300000001</c:v>
                </c:pt>
                <c:pt idx="285">
                  <c:v>2.1203201800000002</c:v>
                </c:pt>
                <c:pt idx="286">
                  <c:v>2.1244024000000001</c:v>
                </c:pt>
                <c:pt idx="287">
                  <c:v>2.1269528499999999</c:v>
                </c:pt>
                <c:pt idx="288">
                  <c:v>2.12947423</c:v>
                </c:pt>
                <c:pt idx="289">
                  <c:v>2.13196618</c:v>
                </c:pt>
                <c:pt idx="290">
                  <c:v>2.0066530400000002</c:v>
                </c:pt>
                <c:pt idx="291">
                  <c:v>2.0089636400000002</c:v>
                </c:pt>
                <c:pt idx="292">
                  <c:v>2.1377588900000002</c:v>
                </c:pt>
                <c:pt idx="293">
                  <c:v>2.1401295899999999</c:v>
                </c:pt>
                <c:pt idx="294">
                  <c:v>2.1424691</c:v>
                </c:pt>
                <c:pt idx="295">
                  <c:v>2.1432740099999998</c:v>
                </c:pt>
                <c:pt idx="296">
                  <c:v>2.1425439700000002</c:v>
                </c:pt>
                <c:pt idx="297">
                  <c:v>2.0163724900000002</c:v>
                </c:pt>
                <c:pt idx="298">
                  <c:v>2.01555171</c:v>
                </c:pt>
                <c:pt idx="299">
                  <c:v>2.1431650699999998</c:v>
                </c:pt>
                <c:pt idx="300">
                  <c:v>2.14230396</c:v>
                </c:pt>
                <c:pt idx="301">
                  <c:v>2.1414092400000002</c:v>
                </c:pt>
                <c:pt idx="302">
                  <c:v>2.1404805699999998</c:v>
                </c:pt>
                <c:pt idx="303">
                  <c:v>2.1395176199999999</c:v>
                </c:pt>
                <c:pt idx="304">
                  <c:v>2.0099868500000002</c:v>
                </c:pt>
                <c:pt idx="305">
                  <c:v>2.0074846599999998</c:v>
                </c:pt>
                <c:pt idx="306">
                  <c:v>2.1334138399999998</c:v>
                </c:pt>
                <c:pt idx="307">
                  <c:v>2.1293045500000001</c:v>
                </c:pt>
                <c:pt idx="308">
                  <c:v>2.1251594300000001</c:v>
                </c:pt>
                <c:pt idx="309">
                  <c:v>2.1224812700000002</c:v>
                </c:pt>
                <c:pt idx="310">
                  <c:v>2.1182636800000001</c:v>
                </c:pt>
                <c:pt idx="311">
                  <c:v>1.98739351</c:v>
                </c:pt>
                <c:pt idx="312">
                  <c:v>1.9831962700000001</c:v>
                </c:pt>
                <c:pt idx="313">
                  <c:v>2.1038870099999998</c:v>
                </c:pt>
                <c:pt idx="314">
                  <c:v>2.09801832</c:v>
                </c:pt>
                <c:pt idx="315">
                  <c:v>2.09211204</c:v>
                </c:pt>
                <c:pt idx="316">
                  <c:v>2.0846649099999999</c:v>
                </c:pt>
                <c:pt idx="317">
                  <c:v>2.0771797799999998</c:v>
                </c:pt>
                <c:pt idx="318">
                  <c:v>1.94557435</c:v>
                </c:pt>
                <c:pt idx="319">
                  <c:v>1.93527563</c:v>
                </c:pt>
                <c:pt idx="320">
                  <c:v>2.0529916400000001</c:v>
                </c:pt>
                <c:pt idx="321">
                  <c:v>2.0453528699999999</c:v>
                </c:pt>
                <c:pt idx="322">
                  <c:v>2.0331662000000001</c:v>
                </c:pt>
                <c:pt idx="323">
                  <c:v>2.0239467800000002</c:v>
                </c:pt>
                <c:pt idx="324">
                  <c:v>2.0146884300000001</c:v>
                </c:pt>
                <c:pt idx="325">
                  <c:v>1.8786047299999999</c:v>
                </c:pt>
                <c:pt idx="326">
                  <c:v>1.86805873</c:v>
                </c:pt>
                <c:pt idx="327">
                  <c:v>1.97916388</c:v>
                </c:pt>
                <c:pt idx="328">
                  <c:v>1.96674317</c:v>
                </c:pt>
                <c:pt idx="329">
                  <c:v>1.95428336</c:v>
                </c:pt>
                <c:pt idx="330">
                  <c:v>1.94028142</c:v>
                </c:pt>
                <c:pt idx="331">
                  <c:v>1.92774351</c:v>
                </c:pt>
                <c:pt idx="332">
                  <c:v>1.79231421</c:v>
                </c:pt>
                <c:pt idx="333">
                  <c:v>1.7785891300000001</c:v>
                </c:pt>
                <c:pt idx="334">
                  <c:v>1.8838841200000001</c:v>
                </c:pt>
                <c:pt idx="335">
                  <c:v>1.8696878699999999</c:v>
                </c:pt>
                <c:pt idx="336">
                  <c:v>1.85395007</c:v>
                </c:pt>
                <c:pt idx="337">
                  <c:v>1.83667088</c:v>
                </c:pt>
                <c:pt idx="338">
                  <c:v>1.8208565800000001</c:v>
                </c:pt>
                <c:pt idx="339">
                  <c:v>1.68524575</c:v>
                </c:pt>
                <c:pt idx="340">
                  <c:v>1.6698114900000001</c:v>
                </c:pt>
                <c:pt idx="341">
                  <c:v>1.77018086</c:v>
                </c:pt>
                <c:pt idx="342">
                  <c:v>1.7512101499999999</c:v>
                </c:pt>
                <c:pt idx="343">
                  <c:v>1.7337055800000001</c:v>
                </c:pt>
                <c:pt idx="344">
                  <c:v>1.71466137</c:v>
                </c:pt>
                <c:pt idx="345">
                  <c:v>1.6970839499999999</c:v>
                </c:pt>
                <c:pt idx="346">
                  <c:v>1.56184711</c:v>
                </c:pt>
                <c:pt idx="347">
                  <c:v>1.5447148100000001</c:v>
                </c:pt>
                <c:pt idx="348">
                  <c:v>1.6381255800000001</c:v>
                </c:pt>
                <c:pt idx="349">
                  <c:v>1.6189038200000001</c:v>
                </c:pt>
                <c:pt idx="350">
                  <c:v>1.60115081</c:v>
                </c:pt>
                <c:pt idx="351">
                  <c:v>1.58035785</c:v>
                </c:pt>
                <c:pt idx="352">
                  <c:v>1.5610345800000001</c:v>
                </c:pt>
                <c:pt idx="353">
                  <c:v>1.42954157</c:v>
                </c:pt>
                <c:pt idx="354">
                  <c:v>1.4092635</c:v>
                </c:pt>
                <c:pt idx="355">
                  <c:v>1.4998633800000001</c:v>
                </c:pt>
                <c:pt idx="356">
                  <c:v>1.47890861</c:v>
                </c:pt>
                <c:pt idx="357">
                  <c:v>1.45792308</c:v>
                </c:pt>
                <c:pt idx="358">
                  <c:v>1.43690736</c:v>
                </c:pt>
                <c:pt idx="359">
                  <c:v>1.4173650799999999</c:v>
                </c:pt>
                <c:pt idx="360">
                  <c:v>1.2899343999999999</c:v>
                </c:pt>
                <c:pt idx="361">
                  <c:v>1.2709294099999999</c:v>
                </c:pt>
                <c:pt idx="362">
                  <c:v>1.3555605799999999</c:v>
                </c:pt>
                <c:pt idx="363">
                  <c:v>1.33590601</c:v>
                </c:pt>
              </c:numCache>
            </c:numRef>
          </c:val>
          <c:smooth val="0"/>
          <c:extLst>
            <c:ext xmlns:c16="http://schemas.microsoft.com/office/drawing/2014/chart" uri="{C3380CC4-5D6E-409C-BE32-E72D297353CC}">
              <c16:uniqueId val="{00000000-5102-4422-AB73-E7CD893B9C6A}"/>
            </c:ext>
          </c:extLst>
        </c:ser>
        <c:dLbls>
          <c:showLegendKey val="0"/>
          <c:showVal val="0"/>
          <c:showCatName val="0"/>
          <c:showSerName val="0"/>
          <c:showPercent val="0"/>
          <c:showBubbleSize val="0"/>
        </c:dLbls>
        <c:smooth val="0"/>
        <c:axId val="570474975"/>
        <c:axId val="1"/>
      </c:lineChart>
      <c:dateAx>
        <c:axId val="570474975"/>
        <c:scaling>
          <c:orientation val="minMax"/>
        </c:scaling>
        <c:delete val="0"/>
        <c:axPos val="b"/>
        <c:numFmt formatCode="m/d/yyyy" sourceLinked="0"/>
        <c:majorTickMark val="out"/>
        <c:minorTickMark val="none"/>
        <c:tickLblPos val="nextTo"/>
        <c:txPr>
          <a:bodyPr rot="-5400000" vert="horz"/>
          <a:lstStyle/>
          <a:p>
            <a:pPr>
              <a:defRPr/>
            </a:pPr>
            <a:endParaRPr lang="fr-FR"/>
          </a:p>
        </c:txPr>
        <c:crossAx val="1"/>
        <c:crosses val="autoZero"/>
        <c:auto val="1"/>
        <c:lblOffset val="100"/>
        <c:baseTimeUnit val="days"/>
      </c:dateAx>
      <c:valAx>
        <c:axId val="1"/>
        <c:scaling>
          <c:orientation val="minMax"/>
        </c:scaling>
        <c:delete val="0"/>
        <c:axPos val="l"/>
        <c:majorGridlines/>
        <c:numFmt formatCode="0.0" sourceLinked="0"/>
        <c:majorTickMark val="out"/>
        <c:minorTickMark val="none"/>
        <c:tickLblPos val="nextTo"/>
        <c:crossAx val="570474975"/>
        <c:crosses val="autoZero"/>
        <c:crossBetween val="between"/>
      </c:valAx>
    </c:plotArea>
    <c:plotVisOnly val="1"/>
    <c:dispBlanksAs val="gap"/>
    <c:showDLblsOverMax val="0"/>
  </c:chart>
  <c:printSettings>
    <c:headerFooter/>
    <c:pageMargins b="0.75000000000000411" l="0.70000000000000062" r="0.70000000000000062" t="0.750000000000004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Profils!$K$1</c:f>
              <c:strCache>
                <c:ptCount val="1"/>
                <c:pt idx="0">
                  <c:v>P018</c:v>
                </c:pt>
              </c:strCache>
            </c:strRef>
          </c:tx>
          <c:spPr>
            <a:ln w="19050"/>
          </c:spPr>
          <c:marker>
            <c:symbol val="none"/>
          </c:marker>
          <c:cat>
            <c:numRef>
              <c:f>Profils!$B$2:$B$365</c:f>
              <c:numCache>
                <c:formatCode>m/d/yyyy</c:formatCode>
                <c:ptCount val="364"/>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pt idx="31">
                  <c:v>46144</c:v>
                </c:pt>
                <c:pt idx="32">
                  <c:v>46145</c:v>
                </c:pt>
                <c:pt idx="33">
                  <c:v>46146</c:v>
                </c:pt>
                <c:pt idx="34">
                  <c:v>46147</c:v>
                </c:pt>
                <c:pt idx="35">
                  <c:v>46148</c:v>
                </c:pt>
                <c:pt idx="36">
                  <c:v>46149</c:v>
                </c:pt>
                <c:pt idx="37">
                  <c:v>46150</c:v>
                </c:pt>
                <c:pt idx="38">
                  <c:v>46151</c:v>
                </c:pt>
                <c:pt idx="39">
                  <c:v>46152</c:v>
                </c:pt>
                <c:pt idx="40">
                  <c:v>46153</c:v>
                </c:pt>
                <c:pt idx="41">
                  <c:v>46154</c:v>
                </c:pt>
                <c:pt idx="42">
                  <c:v>46155</c:v>
                </c:pt>
                <c:pt idx="43">
                  <c:v>46156</c:v>
                </c:pt>
                <c:pt idx="44">
                  <c:v>46157</c:v>
                </c:pt>
                <c:pt idx="45">
                  <c:v>46158</c:v>
                </c:pt>
                <c:pt idx="46">
                  <c:v>46159</c:v>
                </c:pt>
                <c:pt idx="47">
                  <c:v>46160</c:v>
                </c:pt>
                <c:pt idx="48">
                  <c:v>46161</c:v>
                </c:pt>
                <c:pt idx="49">
                  <c:v>46162</c:v>
                </c:pt>
                <c:pt idx="50">
                  <c:v>46163</c:v>
                </c:pt>
                <c:pt idx="51">
                  <c:v>46164</c:v>
                </c:pt>
                <c:pt idx="52">
                  <c:v>46165</c:v>
                </c:pt>
                <c:pt idx="53">
                  <c:v>46166</c:v>
                </c:pt>
                <c:pt idx="54">
                  <c:v>46167</c:v>
                </c:pt>
                <c:pt idx="55">
                  <c:v>46168</c:v>
                </c:pt>
                <c:pt idx="56">
                  <c:v>46169</c:v>
                </c:pt>
                <c:pt idx="57">
                  <c:v>46170</c:v>
                </c:pt>
                <c:pt idx="58">
                  <c:v>46171</c:v>
                </c:pt>
                <c:pt idx="59">
                  <c:v>46172</c:v>
                </c:pt>
                <c:pt idx="60">
                  <c:v>46173</c:v>
                </c:pt>
                <c:pt idx="61">
                  <c:v>46174</c:v>
                </c:pt>
                <c:pt idx="62">
                  <c:v>46175</c:v>
                </c:pt>
                <c:pt idx="63">
                  <c:v>46176</c:v>
                </c:pt>
                <c:pt idx="64">
                  <c:v>46177</c:v>
                </c:pt>
                <c:pt idx="65">
                  <c:v>46178</c:v>
                </c:pt>
                <c:pt idx="66">
                  <c:v>46179</c:v>
                </c:pt>
                <c:pt idx="67">
                  <c:v>46180</c:v>
                </c:pt>
                <c:pt idx="68">
                  <c:v>46181</c:v>
                </c:pt>
                <c:pt idx="69">
                  <c:v>46182</c:v>
                </c:pt>
                <c:pt idx="70">
                  <c:v>46183</c:v>
                </c:pt>
                <c:pt idx="71">
                  <c:v>46184</c:v>
                </c:pt>
                <c:pt idx="72">
                  <c:v>46185</c:v>
                </c:pt>
                <c:pt idx="73">
                  <c:v>46186</c:v>
                </c:pt>
                <c:pt idx="74">
                  <c:v>46187</c:v>
                </c:pt>
                <c:pt idx="75">
                  <c:v>46188</c:v>
                </c:pt>
                <c:pt idx="76">
                  <c:v>46189</c:v>
                </c:pt>
                <c:pt idx="77">
                  <c:v>46190</c:v>
                </c:pt>
                <c:pt idx="78">
                  <c:v>46191</c:v>
                </c:pt>
                <c:pt idx="79">
                  <c:v>46192</c:v>
                </c:pt>
                <c:pt idx="80">
                  <c:v>46193</c:v>
                </c:pt>
                <c:pt idx="81">
                  <c:v>46194</c:v>
                </c:pt>
                <c:pt idx="82">
                  <c:v>46195</c:v>
                </c:pt>
                <c:pt idx="83">
                  <c:v>46196</c:v>
                </c:pt>
                <c:pt idx="84">
                  <c:v>46197</c:v>
                </c:pt>
                <c:pt idx="85">
                  <c:v>46198</c:v>
                </c:pt>
                <c:pt idx="86">
                  <c:v>46199</c:v>
                </c:pt>
                <c:pt idx="87">
                  <c:v>46200</c:v>
                </c:pt>
                <c:pt idx="88">
                  <c:v>46201</c:v>
                </c:pt>
                <c:pt idx="89">
                  <c:v>46202</c:v>
                </c:pt>
                <c:pt idx="90">
                  <c:v>46203</c:v>
                </c:pt>
                <c:pt idx="91">
                  <c:v>46204</c:v>
                </c:pt>
                <c:pt idx="92">
                  <c:v>46205</c:v>
                </c:pt>
                <c:pt idx="93">
                  <c:v>46206</c:v>
                </c:pt>
                <c:pt idx="94">
                  <c:v>46207</c:v>
                </c:pt>
                <c:pt idx="95">
                  <c:v>46208</c:v>
                </c:pt>
                <c:pt idx="96">
                  <c:v>46209</c:v>
                </c:pt>
                <c:pt idx="97">
                  <c:v>46210</c:v>
                </c:pt>
                <c:pt idx="98">
                  <c:v>46211</c:v>
                </c:pt>
                <c:pt idx="99">
                  <c:v>46212</c:v>
                </c:pt>
                <c:pt idx="100">
                  <c:v>46213</c:v>
                </c:pt>
                <c:pt idx="101">
                  <c:v>46214</c:v>
                </c:pt>
                <c:pt idx="102">
                  <c:v>46215</c:v>
                </c:pt>
                <c:pt idx="103">
                  <c:v>46216</c:v>
                </c:pt>
                <c:pt idx="104">
                  <c:v>46217</c:v>
                </c:pt>
                <c:pt idx="105">
                  <c:v>46218</c:v>
                </c:pt>
                <c:pt idx="106">
                  <c:v>46219</c:v>
                </c:pt>
                <c:pt idx="107">
                  <c:v>46220</c:v>
                </c:pt>
                <c:pt idx="108">
                  <c:v>46221</c:v>
                </c:pt>
                <c:pt idx="109">
                  <c:v>46222</c:v>
                </c:pt>
                <c:pt idx="110">
                  <c:v>46223</c:v>
                </c:pt>
                <c:pt idx="111">
                  <c:v>46224</c:v>
                </c:pt>
                <c:pt idx="112">
                  <c:v>46225</c:v>
                </c:pt>
                <c:pt idx="113">
                  <c:v>46226</c:v>
                </c:pt>
                <c:pt idx="114">
                  <c:v>46227</c:v>
                </c:pt>
                <c:pt idx="115">
                  <c:v>46228</c:v>
                </c:pt>
                <c:pt idx="116">
                  <c:v>46229</c:v>
                </c:pt>
                <c:pt idx="117">
                  <c:v>46230</c:v>
                </c:pt>
                <c:pt idx="118">
                  <c:v>46231</c:v>
                </c:pt>
                <c:pt idx="119">
                  <c:v>46232</c:v>
                </c:pt>
                <c:pt idx="120">
                  <c:v>46233</c:v>
                </c:pt>
                <c:pt idx="121">
                  <c:v>46234</c:v>
                </c:pt>
                <c:pt idx="122">
                  <c:v>46235</c:v>
                </c:pt>
                <c:pt idx="123">
                  <c:v>46236</c:v>
                </c:pt>
                <c:pt idx="124">
                  <c:v>46237</c:v>
                </c:pt>
                <c:pt idx="125">
                  <c:v>46238</c:v>
                </c:pt>
                <c:pt idx="126">
                  <c:v>46239</c:v>
                </c:pt>
                <c:pt idx="127">
                  <c:v>46240</c:v>
                </c:pt>
                <c:pt idx="128">
                  <c:v>46241</c:v>
                </c:pt>
                <c:pt idx="129">
                  <c:v>46242</c:v>
                </c:pt>
                <c:pt idx="130">
                  <c:v>46243</c:v>
                </c:pt>
                <c:pt idx="131">
                  <c:v>46244</c:v>
                </c:pt>
                <c:pt idx="132">
                  <c:v>46245</c:v>
                </c:pt>
                <c:pt idx="133">
                  <c:v>46246</c:v>
                </c:pt>
                <c:pt idx="134">
                  <c:v>46247</c:v>
                </c:pt>
                <c:pt idx="135">
                  <c:v>46248</c:v>
                </c:pt>
                <c:pt idx="136">
                  <c:v>46249</c:v>
                </c:pt>
                <c:pt idx="137">
                  <c:v>46250</c:v>
                </c:pt>
                <c:pt idx="138">
                  <c:v>46251</c:v>
                </c:pt>
                <c:pt idx="139">
                  <c:v>46252</c:v>
                </c:pt>
                <c:pt idx="140">
                  <c:v>46253</c:v>
                </c:pt>
                <c:pt idx="141">
                  <c:v>46254</c:v>
                </c:pt>
                <c:pt idx="142">
                  <c:v>46255</c:v>
                </c:pt>
                <c:pt idx="143">
                  <c:v>46256</c:v>
                </c:pt>
                <c:pt idx="144">
                  <c:v>46257</c:v>
                </c:pt>
                <c:pt idx="145">
                  <c:v>46258</c:v>
                </c:pt>
                <c:pt idx="146">
                  <c:v>46259</c:v>
                </c:pt>
                <c:pt idx="147">
                  <c:v>46260</c:v>
                </c:pt>
                <c:pt idx="148">
                  <c:v>46261</c:v>
                </c:pt>
                <c:pt idx="149">
                  <c:v>46262</c:v>
                </c:pt>
                <c:pt idx="150">
                  <c:v>46263</c:v>
                </c:pt>
                <c:pt idx="151">
                  <c:v>46264</c:v>
                </c:pt>
                <c:pt idx="152">
                  <c:v>46265</c:v>
                </c:pt>
                <c:pt idx="153">
                  <c:v>46266</c:v>
                </c:pt>
                <c:pt idx="154">
                  <c:v>46267</c:v>
                </c:pt>
                <c:pt idx="155">
                  <c:v>46268</c:v>
                </c:pt>
                <c:pt idx="156">
                  <c:v>46269</c:v>
                </c:pt>
                <c:pt idx="157">
                  <c:v>46270</c:v>
                </c:pt>
                <c:pt idx="158">
                  <c:v>46271</c:v>
                </c:pt>
                <c:pt idx="159">
                  <c:v>46272</c:v>
                </c:pt>
                <c:pt idx="160">
                  <c:v>46273</c:v>
                </c:pt>
                <c:pt idx="161">
                  <c:v>46274</c:v>
                </c:pt>
                <c:pt idx="162">
                  <c:v>46275</c:v>
                </c:pt>
                <c:pt idx="163">
                  <c:v>46276</c:v>
                </c:pt>
                <c:pt idx="164">
                  <c:v>46277</c:v>
                </c:pt>
                <c:pt idx="165">
                  <c:v>46278</c:v>
                </c:pt>
                <c:pt idx="166">
                  <c:v>46279</c:v>
                </c:pt>
                <c:pt idx="167">
                  <c:v>46280</c:v>
                </c:pt>
                <c:pt idx="168">
                  <c:v>46281</c:v>
                </c:pt>
                <c:pt idx="169">
                  <c:v>46282</c:v>
                </c:pt>
                <c:pt idx="170">
                  <c:v>46283</c:v>
                </c:pt>
                <c:pt idx="171">
                  <c:v>46284</c:v>
                </c:pt>
                <c:pt idx="172">
                  <c:v>46285</c:v>
                </c:pt>
                <c:pt idx="173">
                  <c:v>46286</c:v>
                </c:pt>
                <c:pt idx="174">
                  <c:v>46287</c:v>
                </c:pt>
                <c:pt idx="175">
                  <c:v>46288</c:v>
                </c:pt>
                <c:pt idx="176">
                  <c:v>46289</c:v>
                </c:pt>
                <c:pt idx="177">
                  <c:v>46290</c:v>
                </c:pt>
                <c:pt idx="178">
                  <c:v>46291</c:v>
                </c:pt>
                <c:pt idx="179">
                  <c:v>46292</c:v>
                </c:pt>
                <c:pt idx="180">
                  <c:v>46293</c:v>
                </c:pt>
                <c:pt idx="181">
                  <c:v>46294</c:v>
                </c:pt>
                <c:pt idx="182">
                  <c:v>46295</c:v>
                </c:pt>
                <c:pt idx="183">
                  <c:v>46296</c:v>
                </c:pt>
                <c:pt idx="184">
                  <c:v>46297</c:v>
                </c:pt>
                <c:pt idx="185">
                  <c:v>46298</c:v>
                </c:pt>
                <c:pt idx="186">
                  <c:v>46299</c:v>
                </c:pt>
                <c:pt idx="187">
                  <c:v>46300</c:v>
                </c:pt>
                <c:pt idx="188">
                  <c:v>46301</c:v>
                </c:pt>
                <c:pt idx="189">
                  <c:v>46302</c:v>
                </c:pt>
                <c:pt idx="190">
                  <c:v>46303</c:v>
                </c:pt>
                <c:pt idx="191">
                  <c:v>46304</c:v>
                </c:pt>
                <c:pt idx="192">
                  <c:v>46305</c:v>
                </c:pt>
                <c:pt idx="193">
                  <c:v>46306</c:v>
                </c:pt>
                <c:pt idx="194">
                  <c:v>46307</c:v>
                </c:pt>
                <c:pt idx="195">
                  <c:v>46308</c:v>
                </c:pt>
                <c:pt idx="196">
                  <c:v>46309</c:v>
                </c:pt>
                <c:pt idx="197">
                  <c:v>46310</c:v>
                </c:pt>
                <c:pt idx="198">
                  <c:v>46311</c:v>
                </c:pt>
                <c:pt idx="199">
                  <c:v>46312</c:v>
                </c:pt>
                <c:pt idx="200">
                  <c:v>46313</c:v>
                </c:pt>
                <c:pt idx="201">
                  <c:v>46314</c:v>
                </c:pt>
                <c:pt idx="202">
                  <c:v>46315</c:v>
                </c:pt>
                <c:pt idx="203">
                  <c:v>46316</c:v>
                </c:pt>
                <c:pt idx="204">
                  <c:v>46317</c:v>
                </c:pt>
                <c:pt idx="205">
                  <c:v>46318</c:v>
                </c:pt>
                <c:pt idx="206">
                  <c:v>46319</c:v>
                </c:pt>
                <c:pt idx="207">
                  <c:v>46320</c:v>
                </c:pt>
                <c:pt idx="208">
                  <c:v>46321</c:v>
                </c:pt>
                <c:pt idx="209">
                  <c:v>46322</c:v>
                </c:pt>
                <c:pt idx="210">
                  <c:v>46323</c:v>
                </c:pt>
                <c:pt idx="211">
                  <c:v>46324</c:v>
                </c:pt>
                <c:pt idx="212">
                  <c:v>46325</c:v>
                </c:pt>
                <c:pt idx="213">
                  <c:v>46326</c:v>
                </c:pt>
                <c:pt idx="214">
                  <c:v>46327</c:v>
                </c:pt>
                <c:pt idx="215">
                  <c:v>46328</c:v>
                </c:pt>
                <c:pt idx="216">
                  <c:v>46329</c:v>
                </c:pt>
                <c:pt idx="217">
                  <c:v>46330</c:v>
                </c:pt>
                <c:pt idx="218">
                  <c:v>46331</c:v>
                </c:pt>
                <c:pt idx="219">
                  <c:v>46332</c:v>
                </c:pt>
                <c:pt idx="220">
                  <c:v>46333</c:v>
                </c:pt>
                <c:pt idx="221">
                  <c:v>46334</c:v>
                </c:pt>
                <c:pt idx="222">
                  <c:v>46335</c:v>
                </c:pt>
                <c:pt idx="223">
                  <c:v>46336</c:v>
                </c:pt>
                <c:pt idx="224">
                  <c:v>46337</c:v>
                </c:pt>
                <c:pt idx="225">
                  <c:v>46338</c:v>
                </c:pt>
                <c:pt idx="226">
                  <c:v>46339</c:v>
                </c:pt>
                <c:pt idx="227">
                  <c:v>46340</c:v>
                </c:pt>
                <c:pt idx="228">
                  <c:v>46341</c:v>
                </c:pt>
                <c:pt idx="229">
                  <c:v>46342</c:v>
                </c:pt>
                <c:pt idx="230">
                  <c:v>46343</c:v>
                </c:pt>
                <c:pt idx="231">
                  <c:v>46344</c:v>
                </c:pt>
                <c:pt idx="232">
                  <c:v>46345</c:v>
                </c:pt>
                <c:pt idx="233">
                  <c:v>46346</c:v>
                </c:pt>
                <c:pt idx="234">
                  <c:v>46347</c:v>
                </c:pt>
                <c:pt idx="235">
                  <c:v>46348</c:v>
                </c:pt>
                <c:pt idx="236">
                  <c:v>46349</c:v>
                </c:pt>
                <c:pt idx="237">
                  <c:v>46350</c:v>
                </c:pt>
                <c:pt idx="238">
                  <c:v>46351</c:v>
                </c:pt>
                <c:pt idx="239">
                  <c:v>46352</c:v>
                </c:pt>
                <c:pt idx="240">
                  <c:v>46353</c:v>
                </c:pt>
                <c:pt idx="241">
                  <c:v>46354</c:v>
                </c:pt>
                <c:pt idx="242">
                  <c:v>46355</c:v>
                </c:pt>
                <c:pt idx="243">
                  <c:v>46356</c:v>
                </c:pt>
                <c:pt idx="244">
                  <c:v>46357</c:v>
                </c:pt>
                <c:pt idx="245">
                  <c:v>46358</c:v>
                </c:pt>
                <c:pt idx="246">
                  <c:v>46359</c:v>
                </c:pt>
                <c:pt idx="247">
                  <c:v>46360</c:v>
                </c:pt>
                <c:pt idx="248">
                  <c:v>46361</c:v>
                </c:pt>
                <c:pt idx="249">
                  <c:v>46362</c:v>
                </c:pt>
                <c:pt idx="250">
                  <c:v>46363</c:v>
                </c:pt>
                <c:pt idx="251">
                  <c:v>46364</c:v>
                </c:pt>
                <c:pt idx="252">
                  <c:v>46365</c:v>
                </c:pt>
                <c:pt idx="253">
                  <c:v>46366</c:v>
                </c:pt>
                <c:pt idx="254">
                  <c:v>46367</c:v>
                </c:pt>
                <c:pt idx="255">
                  <c:v>46368</c:v>
                </c:pt>
                <c:pt idx="256">
                  <c:v>46369</c:v>
                </c:pt>
                <c:pt idx="257">
                  <c:v>46370</c:v>
                </c:pt>
                <c:pt idx="258">
                  <c:v>46371</c:v>
                </c:pt>
                <c:pt idx="259">
                  <c:v>46372</c:v>
                </c:pt>
                <c:pt idx="260">
                  <c:v>46373</c:v>
                </c:pt>
                <c:pt idx="261">
                  <c:v>46374</c:v>
                </c:pt>
                <c:pt idx="262">
                  <c:v>46375</c:v>
                </c:pt>
                <c:pt idx="263">
                  <c:v>46376</c:v>
                </c:pt>
                <c:pt idx="264">
                  <c:v>46377</c:v>
                </c:pt>
                <c:pt idx="265">
                  <c:v>46378</c:v>
                </c:pt>
                <c:pt idx="266">
                  <c:v>46379</c:v>
                </c:pt>
                <c:pt idx="267">
                  <c:v>46380</c:v>
                </c:pt>
                <c:pt idx="268">
                  <c:v>46381</c:v>
                </c:pt>
                <c:pt idx="269">
                  <c:v>46382</c:v>
                </c:pt>
                <c:pt idx="270">
                  <c:v>46383</c:v>
                </c:pt>
                <c:pt idx="271">
                  <c:v>46384</c:v>
                </c:pt>
                <c:pt idx="272">
                  <c:v>46385</c:v>
                </c:pt>
                <c:pt idx="273">
                  <c:v>46386</c:v>
                </c:pt>
                <c:pt idx="274">
                  <c:v>46387</c:v>
                </c:pt>
                <c:pt idx="275">
                  <c:v>46388</c:v>
                </c:pt>
                <c:pt idx="276">
                  <c:v>46389</c:v>
                </c:pt>
                <c:pt idx="277">
                  <c:v>46390</c:v>
                </c:pt>
                <c:pt idx="278">
                  <c:v>46391</c:v>
                </c:pt>
                <c:pt idx="279">
                  <c:v>46392</c:v>
                </c:pt>
                <c:pt idx="280">
                  <c:v>46393</c:v>
                </c:pt>
                <c:pt idx="281">
                  <c:v>46394</c:v>
                </c:pt>
                <c:pt idx="282">
                  <c:v>46395</c:v>
                </c:pt>
                <c:pt idx="283">
                  <c:v>46396</c:v>
                </c:pt>
                <c:pt idx="284">
                  <c:v>46397</c:v>
                </c:pt>
                <c:pt idx="285">
                  <c:v>46398</c:v>
                </c:pt>
                <c:pt idx="286">
                  <c:v>46399</c:v>
                </c:pt>
                <c:pt idx="287">
                  <c:v>46400</c:v>
                </c:pt>
                <c:pt idx="288">
                  <c:v>46401</c:v>
                </c:pt>
                <c:pt idx="289">
                  <c:v>46402</c:v>
                </c:pt>
                <c:pt idx="290">
                  <c:v>46403</c:v>
                </c:pt>
                <c:pt idx="291">
                  <c:v>46404</c:v>
                </c:pt>
                <c:pt idx="292">
                  <c:v>46405</c:v>
                </c:pt>
                <c:pt idx="293">
                  <c:v>46406</c:v>
                </c:pt>
                <c:pt idx="294">
                  <c:v>46407</c:v>
                </c:pt>
                <c:pt idx="295">
                  <c:v>46408</c:v>
                </c:pt>
                <c:pt idx="296">
                  <c:v>46409</c:v>
                </c:pt>
                <c:pt idx="297">
                  <c:v>46410</c:v>
                </c:pt>
                <c:pt idx="298">
                  <c:v>46411</c:v>
                </c:pt>
                <c:pt idx="299">
                  <c:v>46412</c:v>
                </c:pt>
                <c:pt idx="300">
                  <c:v>46413</c:v>
                </c:pt>
                <c:pt idx="301">
                  <c:v>46414</c:v>
                </c:pt>
                <c:pt idx="302">
                  <c:v>46415</c:v>
                </c:pt>
                <c:pt idx="303">
                  <c:v>46416</c:v>
                </c:pt>
                <c:pt idx="304">
                  <c:v>46417</c:v>
                </c:pt>
                <c:pt idx="305">
                  <c:v>46418</c:v>
                </c:pt>
                <c:pt idx="306">
                  <c:v>46419</c:v>
                </c:pt>
                <c:pt idx="307">
                  <c:v>46420</c:v>
                </c:pt>
                <c:pt idx="308">
                  <c:v>46421</c:v>
                </c:pt>
                <c:pt idx="309">
                  <c:v>46422</c:v>
                </c:pt>
                <c:pt idx="310">
                  <c:v>46423</c:v>
                </c:pt>
                <c:pt idx="311">
                  <c:v>46424</c:v>
                </c:pt>
                <c:pt idx="312">
                  <c:v>46425</c:v>
                </c:pt>
                <c:pt idx="313">
                  <c:v>46426</c:v>
                </c:pt>
                <c:pt idx="314">
                  <c:v>46427</c:v>
                </c:pt>
                <c:pt idx="315">
                  <c:v>46428</c:v>
                </c:pt>
                <c:pt idx="316">
                  <c:v>46429</c:v>
                </c:pt>
                <c:pt idx="317">
                  <c:v>46430</c:v>
                </c:pt>
                <c:pt idx="318">
                  <c:v>46431</c:v>
                </c:pt>
                <c:pt idx="319">
                  <c:v>46432</c:v>
                </c:pt>
                <c:pt idx="320">
                  <c:v>46433</c:v>
                </c:pt>
                <c:pt idx="321">
                  <c:v>46434</c:v>
                </c:pt>
                <c:pt idx="322">
                  <c:v>46435</c:v>
                </c:pt>
                <c:pt idx="323">
                  <c:v>46436</c:v>
                </c:pt>
                <c:pt idx="324">
                  <c:v>46437</c:v>
                </c:pt>
                <c:pt idx="325">
                  <c:v>46438</c:v>
                </c:pt>
                <c:pt idx="326">
                  <c:v>46439</c:v>
                </c:pt>
                <c:pt idx="327">
                  <c:v>46440</c:v>
                </c:pt>
                <c:pt idx="328">
                  <c:v>46441</c:v>
                </c:pt>
                <c:pt idx="329">
                  <c:v>46442</c:v>
                </c:pt>
                <c:pt idx="330">
                  <c:v>46443</c:v>
                </c:pt>
                <c:pt idx="331">
                  <c:v>46444</c:v>
                </c:pt>
                <c:pt idx="332">
                  <c:v>46445</c:v>
                </c:pt>
                <c:pt idx="333">
                  <c:v>46446</c:v>
                </c:pt>
                <c:pt idx="334">
                  <c:v>46447</c:v>
                </c:pt>
                <c:pt idx="335">
                  <c:v>46448</c:v>
                </c:pt>
                <c:pt idx="336">
                  <c:v>46449</c:v>
                </c:pt>
                <c:pt idx="337">
                  <c:v>46450</c:v>
                </c:pt>
                <c:pt idx="338">
                  <c:v>46451</c:v>
                </c:pt>
                <c:pt idx="339">
                  <c:v>46452</c:v>
                </c:pt>
                <c:pt idx="340">
                  <c:v>46453</c:v>
                </c:pt>
                <c:pt idx="341">
                  <c:v>46454</c:v>
                </c:pt>
                <c:pt idx="342">
                  <c:v>46455</c:v>
                </c:pt>
                <c:pt idx="343">
                  <c:v>46456</c:v>
                </c:pt>
                <c:pt idx="344">
                  <c:v>46457</c:v>
                </c:pt>
                <c:pt idx="345">
                  <c:v>46458</c:v>
                </c:pt>
                <c:pt idx="346">
                  <c:v>46459</c:v>
                </c:pt>
                <c:pt idx="347">
                  <c:v>46460</c:v>
                </c:pt>
                <c:pt idx="348">
                  <c:v>46461</c:v>
                </c:pt>
                <c:pt idx="349">
                  <c:v>46462</c:v>
                </c:pt>
                <c:pt idx="350">
                  <c:v>46463</c:v>
                </c:pt>
                <c:pt idx="351">
                  <c:v>46464</c:v>
                </c:pt>
                <c:pt idx="352">
                  <c:v>46465</c:v>
                </c:pt>
                <c:pt idx="353">
                  <c:v>46466</c:v>
                </c:pt>
                <c:pt idx="354">
                  <c:v>46467</c:v>
                </c:pt>
                <c:pt idx="355">
                  <c:v>46468</c:v>
                </c:pt>
                <c:pt idx="356">
                  <c:v>46469</c:v>
                </c:pt>
                <c:pt idx="357">
                  <c:v>46470</c:v>
                </c:pt>
                <c:pt idx="358">
                  <c:v>46471</c:v>
                </c:pt>
                <c:pt idx="359">
                  <c:v>46472</c:v>
                </c:pt>
                <c:pt idx="360">
                  <c:v>46473</c:v>
                </c:pt>
                <c:pt idx="361">
                  <c:v>46474</c:v>
                </c:pt>
                <c:pt idx="362">
                  <c:v>46475</c:v>
                </c:pt>
                <c:pt idx="363">
                  <c:v>46476</c:v>
                </c:pt>
              </c:numCache>
            </c:numRef>
          </c:cat>
          <c:val>
            <c:numRef>
              <c:f>Profils!$K$2:$K$365</c:f>
              <c:numCache>
                <c:formatCode>General</c:formatCode>
                <c:ptCount val="364"/>
                <c:pt idx="0">
                  <c:v>1.3334723399999999</c:v>
                </c:pt>
                <c:pt idx="1">
                  <c:v>1.3085399900000001</c:v>
                </c:pt>
                <c:pt idx="2">
                  <c:v>1.2815961300000001</c:v>
                </c:pt>
                <c:pt idx="3">
                  <c:v>1.0856496600000001</c:v>
                </c:pt>
                <c:pt idx="4">
                  <c:v>1.0627103899999999</c:v>
                </c:pt>
                <c:pt idx="5">
                  <c:v>1.0397588799999999</c:v>
                </c:pt>
                <c:pt idx="6">
                  <c:v>1.1816807499999999</c:v>
                </c:pt>
                <c:pt idx="7">
                  <c:v>1.1546736099999999</c:v>
                </c:pt>
                <c:pt idx="8">
                  <c:v>1.1316503600000001</c:v>
                </c:pt>
                <c:pt idx="9">
                  <c:v>1.1066184400000001</c:v>
                </c:pt>
                <c:pt idx="10">
                  <c:v>0.92483174000000001</c:v>
                </c:pt>
                <c:pt idx="11">
                  <c:v>0.90364622999999999</c:v>
                </c:pt>
                <c:pt idx="12">
                  <c:v>1.03545606</c:v>
                </c:pt>
                <c:pt idx="13">
                  <c:v>1.00838659</c:v>
                </c:pt>
                <c:pt idx="14">
                  <c:v>0.98530351999999999</c:v>
                </c:pt>
                <c:pt idx="15">
                  <c:v>0.96221195999999998</c:v>
                </c:pt>
                <c:pt idx="16">
                  <c:v>0.94110998000000001</c:v>
                </c:pt>
                <c:pt idx="17">
                  <c:v>0.77268729999999997</c:v>
                </c:pt>
                <c:pt idx="18">
                  <c:v>0.75144432000000005</c:v>
                </c:pt>
                <c:pt idx="19">
                  <c:v>0.86976914000000005</c:v>
                </c:pt>
                <c:pt idx="20">
                  <c:v>0.84664139000000005</c:v>
                </c:pt>
                <c:pt idx="21">
                  <c:v>0.82550533000000004</c:v>
                </c:pt>
                <c:pt idx="22">
                  <c:v>0.80236602000000001</c:v>
                </c:pt>
                <c:pt idx="23">
                  <c:v>0.77922155000000004</c:v>
                </c:pt>
                <c:pt idx="24">
                  <c:v>0.62569322000000005</c:v>
                </c:pt>
                <c:pt idx="25">
                  <c:v>0.60624356000000001</c:v>
                </c:pt>
                <c:pt idx="26">
                  <c:v>0.71175885000000005</c:v>
                </c:pt>
                <c:pt idx="27">
                  <c:v>0.69059541000000002</c:v>
                </c:pt>
                <c:pt idx="28">
                  <c:v>0.66942880000000005</c:v>
                </c:pt>
                <c:pt idx="29">
                  <c:v>0.64626174000000003</c:v>
                </c:pt>
                <c:pt idx="30">
                  <c:v>0.50528339</c:v>
                </c:pt>
                <c:pt idx="31">
                  <c:v>0.48398539000000002</c:v>
                </c:pt>
                <c:pt idx="32">
                  <c:v>0.46268578999999999</c:v>
                </c:pt>
                <c:pt idx="33">
                  <c:v>0.55756852999999995</c:v>
                </c:pt>
                <c:pt idx="34">
                  <c:v>0.53439316000000003</c:v>
                </c:pt>
                <c:pt idx="35">
                  <c:v>0.51321488000000004</c:v>
                </c:pt>
                <c:pt idx="36">
                  <c:v>0.49203638</c:v>
                </c:pt>
                <c:pt idx="37">
                  <c:v>0.36166909000000003</c:v>
                </c:pt>
                <c:pt idx="38">
                  <c:v>0.34219817000000002</c:v>
                </c:pt>
                <c:pt idx="39">
                  <c:v>0.32089696000000001</c:v>
                </c:pt>
                <c:pt idx="40">
                  <c:v>0.40133389000000003</c:v>
                </c:pt>
                <c:pt idx="41">
                  <c:v>0.37816161999999998</c:v>
                </c:pt>
                <c:pt idx="42">
                  <c:v>0.35698875000000002</c:v>
                </c:pt>
                <c:pt idx="43">
                  <c:v>0.23753694</c:v>
                </c:pt>
                <c:pt idx="44">
                  <c:v>0.31065412999999997</c:v>
                </c:pt>
                <c:pt idx="45">
                  <c:v>0.19495383999999999</c:v>
                </c:pt>
                <c:pt idx="46">
                  <c:v>0.17366639</c:v>
                </c:pt>
                <c:pt idx="47">
                  <c:v>0.23917505999999999</c:v>
                </c:pt>
                <c:pt idx="48">
                  <c:v>0.21602119</c:v>
                </c:pt>
                <c:pt idx="49">
                  <c:v>0.19087340999999999</c:v>
                </c:pt>
                <c:pt idx="50">
                  <c:v>0.16772733000000001</c:v>
                </c:pt>
                <c:pt idx="51">
                  <c:v>0.14458552</c:v>
                </c:pt>
                <c:pt idx="52">
                  <c:v>0.10981457</c:v>
                </c:pt>
                <c:pt idx="53">
                  <c:v>0.10869571</c:v>
                </c:pt>
                <c:pt idx="54">
                  <c:v>0.1075817</c:v>
                </c:pt>
                <c:pt idx="55">
                  <c:v>0.1259005</c:v>
                </c:pt>
                <c:pt idx="56">
                  <c:v>0.1247581</c:v>
                </c:pt>
                <c:pt idx="57">
                  <c:v>0.12362142</c:v>
                </c:pt>
                <c:pt idx="58">
                  <c:v>0.12249069</c:v>
                </c:pt>
                <c:pt idx="59">
                  <c:v>0.10209234</c:v>
                </c:pt>
                <c:pt idx="60">
                  <c:v>0.10101211</c:v>
                </c:pt>
                <c:pt idx="61">
                  <c:v>0.11913633</c:v>
                </c:pt>
                <c:pt idx="62">
                  <c:v>0.11803153</c:v>
                </c:pt>
                <c:pt idx="63">
                  <c:v>0.11693373</c:v>
                </c:pt>
                <c:pt idx="64">
                  <c:v>0.11584315000000001</c:v>
                </c:pt>
                <c:pt idx="65">
                  <c:v>0.11475997</c:v>
                </c:pt>
                <c:pt idx="66">
                  <c:v>9.4671400000000003E-2</c:v>
                </c:pt>
                <c:pt idx="67">
                  <c:v>9.363987E-2</c:v>
                </c:pt>
                <c:pt idx="68">
                  <c:v>0.11155683</c:v>
                </c:pt>
                <c:pt idx="69">
                  <c:v>0.11050523</c:v>
                </c:pt>
                <c:pt idx="70">
                  <c:v>0.10946201</c:v>
                </c:pt>
                <c:pt idx="71">
                  <c:v>0.10842734</c:v>
                </c:pt>
                <c:pt idx="72">
                  <c:v>0.10740143000000001</c:v>
                </c:pt>
                <c:pt idx="73">
                  <c:v>8.7619290000000002E-2</c:v>
                </c:pt>
                <c:pt idx="74">
                  <c:v>8.6645650000000005E-2</c:v>
                </c:pt>
                <c:pt idx="75">
                  <c:v>0.10437807</c:v>
                </c:pt>
                <c:pt idx="76">
                  <c:v>0.10338903000000001</c:v>
                </c:pt>
                <c:pt idx="77">
                  <c:v>0.10240968</c:v>
                </c:pt>
                <c:pt idx="78">
                  <c:v>0.10144019999999999</c:v>
                </c:pt>
                <c:pt idx="79">
                  <c:v>0.10048079</c:v>
                </c:pt>
                <c:pt idx="80">
                  <c:v>8.0999119999999994E-2</c:v>
                </c:pt>
                <c:pt idx="81">
                  <c:v>8.0092280000000002E-2</c:v>
                </c:pt>
                <c:pt idx="82">
                  <c:v>9.7664860000000006E-2</c:v>
                </c:pt>
                <c:pt idx="83">
                  <c:v>9.6747630000000001E-2</c:v>
                </c:pt>
                <c:pt idx="84">
                  <c:v>9.5841430000000005E-2</c:v>
                </c:pt>
                <c:pt idx="85">
                  <c:v>9.4946450000000002E-2</c:v>
                </c:pt>
                <c:pt idx="86">
                  <c:v>9.406291E-2</c:v>
                </c:pt>
                <c:pt idx="87">
                  <c:v>7.4873729999999999E-2</c:v>
                </c:pt>
                <c:pt idx="88">
                  <c:v>7.4042849999999993E-2</c:v>
                </c:pt>
                <c:pt idx="89">
                  <c:v>9.1482889999999997E-2</c:v>
                </c:pt>
                <c:pt idx="90">
                  <c:v>9.0647110000000003E-2</c:v>
                </c:pt>
                <c:pt idx="91">
                  <c:v>8.9823799999999995E-2</c:v>
                </c:pt>
                <c:pt idx="92">
                  <c:v>8.9013170000000003E-2</c:v>
                </c:pt>
                <c:pt idx="93">
                  <c:v>8.8215440000000006E-2</c:v>
                </c:pt>
                <c:pt idx="94">
                  <c:v>6.9309120000000002E-2</c:v>
                </c:pt>
                <c:pt idx="95">
                  <c:v>6.8564040000000007E-2</c:v>
                </c:pt>
                <c:pt idx="96">
                  <c:v>8.590188E-2</c:v>
                </c:pt>
                <c:pt idx="97">
                  <c:v>8.5157979999999994E-2</c:v>
                </c:pt>
                <c:pt idx="98">
                  <c:v>8.4428110000000001E-2</c:v>
                </c:pt>
                <c:pt idx="99">
                  <c:v>8.3712499999999995E-2</c:v>
                </c:pt>
                <c:pt idx="100">
                  <c:v>8.3011390000000004E-2</c:v>
                </c:pt>
                <c:pt idx="101">
                  <c:v>6.4376639999999999E-2</c:v>
                </c:pt>
                <c:pt idx="102">
                  <c:v>6.372804E-2</c:v>
                </c:pt>
                <c:pt idx="103">
                  <c:v>8.0997440000000004E-2</c:v>
                </c:pt>
                <c:pt idx="104">
                  <c:v>6.2475169999999997E-2</c:v>
                </c:pt>
                <c:pt idx="105">
                  <c:v>7.9731709999999997E-2</c:v>
                </c:pt>
                <c:pt idx="106">
                  <c:v>7.9122650000000003E-2</c:v>
                </c:pt>
                <c:pt idx="107">
                  <c:v>7.8529790000000002E-2</c:v>
                </c:pt>
                <c:pt idx="108">
                  <c:v>6.0153430000000001E-2</c:v>
                </c:pt>
                <c:pt idx="109">
                  <c:v>5.9612730000000003E-2</c:v>
                </c:pt>
                <c:pt idx="110">
                  <c:v>7.6850940000000006E-2</c:v>
                </c:pt>
                <c:pt idx="111">
                  <c:v>7.6325400000000002E-2</c:v>
                </c:pt>
                <c:pt idx="112">
                  <c:v>7.5817309999999999E-2</c:v>
                </c:pt>
                <c:pt idx="113">
                  <c:v>7.532693E-2</c:v>
                </c:pt>
                <c:pt idx="114">
                  <c:v>7.4854500000000004E-2</c:v>
                </c:pt>
                <c:pt idx="115">
                  <c:v>5.6720939999999997E-2</c:v>
                </c:pt>
                <c:pt idx="116">
                  <c:v>5.6299969999999998E-2</c:v>
                </c:pt>
                <c:pt idx="117">
                  <c:v>7.3547429999999997E-2</c:v>
                </c:pt>
                <c:pt idx="118">
                  <c:v>7.31493E-2</c:v>
                </c:pt>
                <c:pt idx="119">
                  <c:v>7.2770349999999998E-2</c:v>
                </c:pt>
                <c:pt idx="120">
                  <c:v>7.2410820000000001E-2</c:v>
                </c:pt>
                <c:pt idx="121">
                  <c:v>7.2070949999999995E-2</c:v>
                </c:pt>
                <c:pt idx="122">
                  <c:v>5.4161569999999999E-2</c:v>
                </c:pt>
                <c:pt idx="123">
                  <c:v>5.3871889999999999E-2</c:v>
                </c:pt>
                <c:pt idx="124">
                  <c:v>7.1171579999999998E-2</c:v>
                </c:pt>
                <c:pt idx="125">
                  <c:v>7.0912619999999996E-2</c:v>
                </c:pt>
                <c:pt idx="126">
                  <c:v>7.0674429999999996E-2</c:v>
                </c:pt>
                <c:pt idx="127">
                  <c:v>7.0457229999999996E-2</c:v>
                </c:pt>
                <c:pt idx="128">
                  <c:v>7.0261210000000004E-2</c:v>
                </c:pt>
                <c:pt idx="129">
                  <c:v>5.255369E-2</c:v>
                </c:pt>
                <c:pt idx="130">
                  <c:v>5.240583E-2</c:v>
                </c:pt>
                <c:pt idx="131">
                  <c:v>6.9802210000000003E-2</c:v>
                </c:pt>
                <c:pt idx="132">
                  <c:v>6.9692840000000006E-2</c:v>
                </c:pt>
                <c:pt idx="133">
                  <c:v>6.9605559999999997E-2</c:v>
                </c:pt>
                <c:pt idx="134">
                  <c:v>6.9540539999999998E-2</c:v>
                </c:pt>
                <c:pt idx="135">
                  <c:v>6.9497920000000005E-2</c:v>
                </c:pt>
                <c:pt idx="136">
                  <c:v>5.1965629999999999E-2</c:v>
                </c:pt>
                <c:pt idx="137">
                  <c:v>5.1968149999999998E-2</c:v>
                </c:pt>
                <c:pt idx="138">
                  <c:v>6.9505880000000006E-2</c:v>
                </c:pt>
                <c:pt idx="139">
                  <c:v>6.9554210000000005E-2</c:v>
                </c:pt>
                <c:pt idx="140">
                  <c:v>6.9625560000000003E-2</c:v>
                </c:pt>
                <c:pt idx="141">
                  <c:v>6.9720009999999999E-2</c:v>
                </c:pt>
                <c:pt idx="142">
                  <c:v>6.9837650000000001E-2</c:v>
                </c:pt>
                <c:pt idx="143">
                  <c:v>5.2449320000000001E-2</c:v>
                </c:pt>
                <c:pt idx="144">
                  <c:v>5.2607960000000002E-2</c:v>
                </c:pt>
                <c:pt idx="145">
                  <c:v>7.0330320000000002E-2</c:v>
                </c:pt>
                <c:pt idx="146">
                  <c:v>7.0541279999999998E-2</c:v>
                </c:pt>
                <c:pt idx="147">
                  <c:v>7.0775649999999996E-2</c:v>
                </c:pt>
                <c:pt idx="148">
                  <c:v>7.1033440000000003E-2</c:v>
                </c:pt>
                <c:pt idx="149">
                  <c:v>7.1314649999999993E-2</c:v>
                </c:pt>
                <c:pt idx="150">
                  <c:v>5.4034329999999998E-2</c:v>
                </c:pt>
                <c:pt idx="151">
                  <c:v>5.4351169999999997E-2</c:v>
                </c:pt>
                <c:pt idx="152">
                  <c:v>7.229853E-2</c:v>
                </c:pt>
                <c:pt idx="153">
                  <c:v>7.2673089999999996E-2</c:v>
                </c:pt>
                <c:pt idx="154">
                  <c:v>7.3070860000000001E-2</c:v>
                </c:pt>
                <c:pt idx="155">
                  <c:v>7.3491730000000005E-2</c:v>
                </c:pt>
                <c:pt idx="156">
                  <c:v>7.3935630000000002E-2</c:v>
                </c:pt>
                <c:pt idx="157">
                  <c:v>5.6723019999999999E-2</c:v>
                </c:pt>
                <c:pt idx="158">
                  <c:v>5.7195969999999999E-2</c:v>
                </c:pt>
                <c:pt idx="159">
                  <c:v>7.5404219999999994E-2</c:v>
                </c:pt>
                <c:pt idx="160">
                  <c:v>7.5938930000000002E-2</c:v>
                </c:pt>
                <c:pt idx="161">
                  <c:v>7.6495969999999996E-2</c:v>
                </c:pt>
                <c:pt idx="162">
                  <c:v>7.7075149999999995E-2</c:v>
                </c:pt>
                <c:pt idx="163">
                  <c:v>7.7676289999999995E-2</c:v>
                </c:pt>
                <c:pt idx="164">
                  <c:v>6.0487470000000002E-2</c:v>
                </c:pt>
                <c:pt idx="165">
                  <c:v>6.1110009999999999E-2</c:v>
                </c:pt>
                <c:pt idx="166">
                  <c:v>7.9609299999999994E-2</c:v>
                </c:pt>
                <c:pt idx="167">
                  <c:v>8.0296069999999997E-2</c:v>
                </c:pt>
                <c:pt idx="168">
                  <c:v>8.1003640000000002E-2</c:v>
                </c:pt>
                <c:pt idx="169">
                  <c:v>8.1731730000000002E-2</c:v>
                </c:pt>
                <c:pt idx="170">
                  <c:v>8.2480079999999997E-2</c:v>
                </c:pt>
                <c:pt idx="171">
                  <c:v>6.5268649999999998E-2</c:v>
                </c:pt>
                <c:pt idx="172">
                  <c:v>6.6029850000000001E-2</c:v>
                </c:pt>
                <c:pt idx="173">
                  <c:v>8.4843600000000005E-2</c:v>
                </c:pt>
                <c:pt idx="174">
                  <c:v>8.5669880000000004E-2</c:v>
                </c:pt>
                <c:pt idx="175">
                  <c:v>8.6514830000000001E-2</c:v>
                </c:pt>
                <c:pt idx="176">
                  <c:v>8.7378109999999995E-2</c:v>
                </c:pt>
                <c:pt idx="177">
                  <c:v>8.8259340000000006E-2</c:v>
                </c:pt>
                <c:pt idx="178">
                  <c:v>7.0977819999999997E-2</c:v>
                </c:pt>
                <c:pt idx="179">
                  <c:v>7.1862759999999998E-2</c:v>
                </c:pt>
                <c:pt idx="180">
                  <c:v>0.15101624</c:v>
                </c:pt>
                <c:pt idx="181">
                  <c:v>0.17593753000000001</c:v>
                </c:pt>
                <c:pt idx="182">
                  <c:v>0.20287253</c:v>
                </c:pt>
                <c:pt idx="183">
                  <c:v>0.23182080999999999</c:v>
                </c:pt>
                <c:pt idx="184">
                  <c:v>0.26078430000000002</c:v>
                </c:pt>
                <c:pt idx="185">
                  <c:v>0.19314392</c:v>
                </c:pt>
                <c:pt idx="186">
                  <c:v>0.21976902000000001</c:v>
                </c:pt>
                <c:pt idx="187">
                  <c:v>0.34576406999999998</c:v>
                </c:pt>
                <c:pt idx="188">
                  <c:v>0.37278641000000001</c:v>
                </c:pt>
                <c:pt idx="189">
                  <c:v>0.40181945000000002</c:v>
                </c:pt>
                <c:pt idx="190">
                  <c:v>0.43086506000000002</c:v>
                </c:pt>
                <c:pt idx="191">
                  <c:v>0.46192045999999998</c:v>
                </c:pt>
                <c:pt idx="192">
                  <c:v>0.37978683000000002</c:v>
                </c:pt>
                <c:pt idx="193">
                  <c:v>0.40832795999999999</c:v>
                </c:pt>
                <c:pt idx="194">
                  <c:v>0.55115946000000005</c:v>
                </c:pt>
                <c:pt idx="195">
                  <c:v>0.58026107000000005</c:v>
                </c:pt>
                <c:pt idx="196">
                  <c:v>0.61336780000000002</c:v>
                </c:pt>
                <c:pt idx="197">
                  <c:v>0.64448620999999995</c:v>
                </c:pt>
                <c:pt idx="198">
                  <c:v>0.67361581999999998</c:v>
                </c:pt>
                <c:pt idx="199">
                  <c:v>0.57794573000000005</c:v>
                </c:pt>
                <c:pt idx="200">
                  <c:v>0.60654998000000004</c:v>
                </c:pt>
                <c:pt idx="201">
                  <c:v>0.76904380000000006</c:v>
                </c:pt>
                <c:pt idx="202">
                  <c:v>0.80020184000000005</c:v>
                </c:pt>
                <c:pt idx="203">
                  <c:v>0.83336405999999996</c:v>
                </c:pt>
                <c:pt idx="204">
                  <c:v>0.86253701999999999</c:v>
                </c:pt>
                <c:pt idx="205">
                  <c:v>0.89571089999999998</c:v>
                </c:pt>
                <c:pt idx="206">
                  <c:v>0.780142</c:v>
                </c:pt>
                <c:pt idx="207">
                  <c:v>0.80878724999999996</c:v>
                </c:pt>
                <c:pt idx="208">
                  <c:v>0.99126619999999999</c:v>
                </c:pt>
                <c:pt idx="209">
                  <c:v>1.0244579</c:v>
                </c:pt>
                <c:pt idx="210">
                  <c:v>1.0556552699999999</c:v>
                </c:pt>
                <c:pt idx="211">
                  <c:v>1.0888532</c:v>
                </c:pt>
                <c:pt idx="212">
                  <c:v>1.12005592</c:v>
                </c:pt>
                <c:pt idx="213">
                  <c:v>0.98622253999999998</c:v>
                </c:pt>
                <c:pt idx="214">
                  <c:v>1.01488741</c:v>
                </c:pt>
                <c:pt idx="215">
                  <c:v>1.21367453</c:v>
                </c:pt>
                <c:pt idx="216">
                  <c:v>1.24688048</c:v>
                </c:pt>
                <c:pt idx="217">
                  <c:v>1.2760914699999999</c:v>
                </c:pt>
                <c:pt idx="218">
                  <c:v>1.3092977400000001</c:v>
                </c:pt>
                <c:pt idx="219">
                  <c:v>1.33850823</c:v>
                </c:pt>
                <c:pt idx="220">
                  <c:v>1.1868867400000001</c:v>
                </c:pt>
                <c:pt idx="221">
                  <c:v>1.21372035</c:v>
                </c:pt>
                <c:pt idx="222">
                  <c:v>1.43012856</c:v>
                </c:pt>
                <c:pt idx="223">
                  <c:v>1.45933348</c:v>
                </c:pt>
                <c:pt idx="224">
                  <c:v>1.2960416100000001</c:v>
                </c:pt>
                <c:pt idx="225">
                  <c:v>1.51573834</c:v>
                </c:pt>
                <c:pt idx="226">
                  <c:v>1.5469329199999999</c:v>
                </c:pt>
                <c:pt idx="227">
                  <c:v>1.37650863</c:v>
                </c:pt>
                <c:pt idx="228">
                  <c:v>1.39966218</c:v>
                </c:pt>
                <c:pt idx="229">
                  <c:v>1.6305068300000001</c:v>
                </c:pt>
                <c:pt idx="230">
                  <c:v>1.6556930000000001</c:v>
                </c:pt>
                <c:pt idx="231">
                  <c:v>1.6828721799999999</c:v>
                </c:pt>
                <c:pt idx="232">
                  <c:v>1.7100464099999999</c:v>
                </c:pt>
                <c:pt idx="233">
                  <c:v>1.73521773</c:v>
                </c:pt>
                <c:pt idx="234">
                  <c:v>1.5458156000000001</c:v>
                </c:pt>
                <c:pt idx="235">
                  <c:v>1.5689357500000001</c:v>
                </c:pt>
                <c:pt idx="236">
                  <c:v>1.8086996200000001</c:v>
                </c:pt>
                <c:pt idx="237">
                  <c:v>1.83184941</c:v>
                </c:pt>
                <c:pt idx="238">
                  <c:v>1.8549925700000001</c:v>
                </c:pt>
                <c:pt idx="239">
                  <c:v>1.8761311700000001</c:v>
                </c:pt>
                <c:pt idx="240">
                  <c:v>1.89926028</c:v>
                </c:pt>
                <c:pt idx="241">
                  <c:v>1.6947065299999999</c:v>
                </c:pt>
                <c:pt idx="242">
                  <c:v>1.71228698</c:v>
                </c:pt>
                <c:pt idx="243">
                  <c:v>1.96260927</c:v>
                </c:pt>
                <c:pt idx="244">
                  <c:v>1.9837096999999999</c:v>
                </c:pt>
                <c:pt idx="245">
                  <c:v>2.0028041399999998</c:v>
                </c:pt>
                <c:pt idx="246">
                  <c:v>2.0218900299999998</c:v>
                </c:pt>
                <c:pt idx="247">
                  <c:v>2.03896948</c:v>
                </c:pt>
                <c:pt idx="248">
                  <c:v>1.81760232</c:v>
                </c:pt>
                <c:pt idx="249">
                  <c:v>1.8351250100000001</c:v>
                </c:pt>
                <c:pt idx="250">
                  <c:v>2.09215083</c:v>
                </c:pt>
                <c:pt idx="251">
                  <c:v>2.1071954800000001</c:v>
                </c:pt>
                <c:pt idx="252">
                  <c:v>2.1222303500000002</c:v>
                </c:pt>
                <c:pt idx="253">
                  <c:v>2.13725524</c:v>
                </c:pt>
                <c:pt idx="254">
                  <c:v>2.1522699599999999</c:v>
                </c:pt>
                <c:pt idx="255">
                  <c:v>1.9199225900000001</c:v>
                </c:pt>
                <c:pt idx="256">
                  <c:v>1.9318846999999999</c:v>
                </c:pt>
                <c:pt idx="257">
                  <c:v>2.1932558800000002</c:v>
                </c:pt>
                <c:pt idx="258">
                  <c:v>2.20623038</c:v>
                </c:pt>
                <c:pt idx="259">
                  <c:v>2.2191937899999998</c:v>
                </c:pt>
                <c:pt idx="260">
                  <c:v>2.23014826</c:v>
                </c:pt>
                <c:pt idx="261">
                  <c:v>2.24109128</c:v>
                </c:pt>
                <c:pt idx="262">
                  <c:v>1.9979404700000001</c:v>
                </c:pt>
                <c:pt idx="263">
                  <c:v>2.00799533</c:v>
                </c:pt>
                <c:pt idx="264">
                  <c:v>2.27384984</c:v>
                </c:pt>
                <c:pt idx="265">
                  <c:v>2.2847452700000002</c:v>
                </c:pt>
                <c:pt idx="266">
                  <c:v>2.2936307</c:v>
                </c:pt>
                <c:pt idx="267">
                  <c:v>2.3025036000000001</c:v>
                </c:pt>
                <c:pt idx="268">
                  <c:v>2.0525993599999999</c:v>
                </c:pt>
                <c:pt idx="269">
                  <c:v>2.0607511199999999</c:v>
                </c:pt>
                <c:pt idx="270">
                  <c:v>2.0688902900000001</c:v>
                </c:pt>
                <c:pt idx="271">
                  <c:v>2.3358688500000002</c:v>
                </c:pt>
                <c:pt idx="272">
                  <c:v>2.3426788300000001</c:v>
                </c:pt>
                <c:pt idx="273">
                  <c:v>2.34947522</c:v>
                </c:pt>
                <c:pt idx="274">
                  <c:v>2.3582554999999998</c:v>
                </c:pt>
                <c:pt idx="275">
                  <c:v>2.1002356400000002</c:v>
                </c:pt>
                <c:pt idx="276">
                  <c:v>2.1064644299999999</c:v>
                </c:pt>
                <c:pt idx="277">
                  <c:v>2.1108483300000001</c:v>
                </c:pt>
                <c:pt idx="278">
                  <c:v>2.3812491599999999</c:v>
                </c:pt>
                <c:pt idx="279">
                  <c:v>2.3859624400000001</c:v>
                </c:pt>
                <c:pt idx="280">
                  <c:v>2.3926584900000001</c:v>
                </c:pt>
                <c:pt idx="281">
                  <c:v>2.3973417800000001</c:v>
                </c:pt>
                <c:pt idx="282">
                  <c:v>2.4020097800000002</c:v>
                </c:pt>
                <c:pt idx="283">
                  <c:v>2.1405128000000002</c:v>
                </c:pt>
                <c:pt idx="284">
                  <c:v>2.1447946299999998</c:v>
                </c:pt>
                <c:pt idx="285">
                  <c:v>2.4139224700000002</c:v>
                </c:pt>
                <c:pt idx="286">
                  <c:v>2.41852738</c:v>
                </c:pt>
                <c:pt idx="287">
                  <c:v>2.42111835</c:v>
                </c:pt>
                <c:pt idx="288">
                  <c:v>2.4236928600000001</c:v>
                </c:pt>
                <c:pt idx="289">
                  <c:v>2.4262506899999998</c:v>
                </c:pt>
                <c:pt idx="290">
                  <c:v>2.1591706099999999</c:v>
                </c:pt>
                <c:pt idx="291">
                  <c:v>2.1615100200000001</c:v>
                </c:pt>
                <c:pt idx="292">
                  <c:v>2.4318245200000002</c:v>
                </c:pt>
                <c:pt idx="293">
                  <c:v>2.4343136699999999</c:v>
                </c:pt>
                <c:pt idx="294">
                  <c:v>2.4367851599999999</c:v>
                </c:pt>
                <c:pt idx="295">
                  <c:v>2.43724111</c:v>
                </c:pt>
                <c:pt idx="296">
                  <c:v>2.43568132</c:v>
                </c:pt>
                <c:pt idx="297">
                  <c:v>2.1678651699999998</c:v>
                </c:pt>
                <c:pt idx="298">
                  <c:v>2.1664216500000002</c:v>
                </c:pt>
                <c:pt idx="299">
                  <c:v>2.43488689</c:v>
                </c:pt>
                <c:pt idx="300">
                  <c:v>2.4332528600000001</c:v>
                </c:pt>
                <c:pt idx="301">
                  <c:v>2.4315997899999999</c:v>
                </c:pt>
                <c:pt idx="302">
                  <c:v>2.4299274799999999</c:v>
                </c:pt>
                <c:pt idx="303">
                  <c:v>2.4282357600000002</c:v>
                </c:pt>
                <c:pt idx="304">
                  <c:v>2.1573755800000001</c:v>
                </c:pt>
                <c:pt idx="305">
                  <c:v>2.1539710099999998</c:v>
                </c:pt>
                <c:pt idx="306">
                  <c:v>2.4190469700000001</c:v>
                </c:pt>
                <c:pt idx="307">
                  <c:v>2.4132804700000001</c:v>
                </c:pt>
                <c:pt idx="308">
                  <c:v>2.4074936899999999</c:v>
                </c:pt>
                <c:pt idx="309">
                  <c:v>2.4036841199999999</c:v>
                </c:pt>
                <c:pt idx="310">
                  <c:v>2.3978562800000001</c:v>
                </c:pt>
                <c:pt idx="311">
                  <c:v>2.1276401300000001</c:v>
                </c:pt>
                <c:pt idx="312">
                  <c:v>2.1222663100000001</c:v>
                </c:pt>
                <c:pt idx="313">
                  <c:v>2.37824999</c:v>
                </c:pt>
                <c:pt idx="314">
                  <c:v>2.3703406199999999</c:v>
                </c:pt>
                <c:pt idx="315">
                  <c:v>2.36240995</c:v>
                </c:pt>
                <c:pt idx="316">
                  <c:v>2.3524602099999998</c:v>
                </c:pt>
                <c:pt idx="317">
                  <c:v>2.3424889499999999</c:v>
                </c:pt>
                <c:pt idx="318">
                  <c:v>2.0749440200000002</c:v>
                </c:pt>
                <c:pt idx="319">
                  <c:v>2.06210133</c:v>
                </c:pt>
                <c:pt idx="320">
                  <c:v>2.31044736</c:v>
                </c:pt>
                <c:pt idx="321">
                  <c:v>2.30038907</c:v>
                </c:pt>
                <c:pt idx="322">
                  <c:v>2.2843158200000002</c:v>
                </c:pt>
                <c:pt idx="323">
                  <c:v>2.2722159</c:v>
                </c:pt>
                <c:pt idx="324">
                  <c:v>2.26009393</c:v>
                </c:pt>
                <c:pt idx="325">
                  <c:v>1.9919247</c:v>
                </c:pt>
                <c:pt idx="326">
                  <c:v>1.9789333200000001</c:v>
                </c:pt>
                <c:pt idx="327">
                  <c:v>2.2136069900000002</c:v>
                </c:pt>
                <c:pt idx="328">
                  <c:v>2.19740117</c:v>
                </c:pt>
                <c:pt idx="329">
                  <c:v>2.1811731999999999</c:v>
                </c:pt>
                <c:pt idx="330">
                  <c:v>2.16292544</c:v>
                </c:pt>
                <c:pt idx="331">
                  <c:v>2.1466532300000001</c:v>
                </c:pt>
                <c:pt idx="332">
                  <c:v>1.8858875399999999</c:v>
                </c:pt>
                <c:pt idx="333">
                  <c:v>1.86908454</c:v>
                </c:pt>
                <c:pt idx="334">
                  <c:v>2.0897136999999999</c:v>
                </c:pt>
                <c:pt idx="335">
                  <c:v>2.0713558600000002</c:v>
                </c:pt>
                <c:pt idx="336">
                  <c:v>2.05097855</c:v>
                </c:pt>
                <c:pt idx="337">
                  <c:v>2.0285818500000001</c:v>
                </c:pt>
                <c:pt idx="338">
                  <c:v>2.0081612099999999</c:v>
                </c:pt>
                <c:pt idx="339">
                  <c:v>1.7550064000000001</c:v>
                </c:pt>
                <c:pt idx="340">
                  <c:v>1.73622565</c:v>
                </c:pt>
                <c:pt idx="341">
                  <c:v>1.9427755099999999</c:v>
                </c:pt>
                <c:pt idx="342">
                  <c:v>1.9182743799999999</c:v>
                </c:pt>
                <c:pt idx="343">
                  <c:v>1.8957500199999999</c:v>
                </c:pt>
                <c:pt idx="344">
                  <c:v>1.87120726</c:v>
                </c:pt>
                <c:pt idx="345">
                  <c:v>1.8486416299999999</c:v>
                </c:pt>
                <c:pt idx="346">
                  <c:v>1.6048057499999999</c:v>
                </c:pt>
                <c:pt idx="347">
                  <c:v>1.5840539499999999</c:v>
                </c:pt>
                <c:pt idx="348">
                  <c:v>1.7728329</c:v>
                </c:pt>
                <c:pt idx="349">
                  <c:v>1.7481895700000001</c:v>
                </c:pt>
                <c:pt idx="350">
                  <c:v>1.7255244700000001</c:v>
                </c:pt>
                <c:pt idx="351">
                  <c:v>1.69884488</c:v>
                </c:pt>
                <c:pt idx="352">
                  <c:v>1.6741440400000001</c:v>
                </c:pt>
                <c:pt idx="353">
                  <c:v>1.4444992699999999</c:v>
                </c:pt>
                <c:pt idx="354">
                  <c:v>1.41995589</c:v>
                </c:pt>
                <c:pt idx="355">
                  <c:v>1.5959355900000001</c:v>
                </c:pt>
                <c:pt idx="356">
                  <c:v>1.56916433</c:v>
                </c:pt>
                <c:pt idx="357">
                  <c:v>1.5423756500000001</c:v>
                </c:pt>
                <c:pt idx="358">
                  <c:v>1.51556986</c:v>
                </c:pt>
                <c:pt idx="359">
                  <c:v>1.4907449699999999</c:v>
                </c:pt>
                <c:pt idx="360">
                  <c:v>1.2760022099999999</c:v>
                </c:pt>
                <c:pt idx="361">
                  <c:v>1.25317433</c:v>
                </c:pt>
                <c:pt idx="362">
                  <c:v>1.4121777799999999</c:v>
                </c:pt>
                <c:pt idx="363">
                  <c:v>1.3872892800000001</c:v>
                </c:pt>
              </c:numCache>
            </c:numRef>
          </c:val>
          <c:smooth val="0"/>
          <c:extLst>
            <c:ext xmlns:c16="http://schemas.microsoft.com/office/drawing/2014/chart" uri="{C3380CC4-5D6E-409C-BE32-E72D297353CC}">
              <c16:uniqueId val="{00000000-2697-42CF-8805-B54C71EC8059}"/>
            </c:ext>
          </c:extLst>
        </c:ser>
        <c:dLbls>
          <c:showLegendKey val="0"/>
          <c:showVal val="0"/>
          <c:showCatName val="0"/>
          <c:showSerName val="0"/>
          <c:showPercent val="0"/>
          <c:showBubbleSize val="0"/>
        </c:dLbls>
        <c:smooth val="0"/>
        <c:axId val="570478175"/>
        <c:axId val="1"/>
      </c:lineChart>
      <c:dateAx>
        <c:axId val="570478175"/>
        <c:scaling>
          <c:orientation val="minMax"/>
        </c:scaling>
        <c:delete val="0"/>
        <c:axPos val="b"/>
        <c:numFmt formatCode="m/d/yyyy" sourceLinked="0"/>
        <c:majorTickMark val="out"/>
        <c:minorTickMark val="none"/>
        <c:tickLblPos val="nextTo"/>
        <c:txPr>
          <a:bodyPr rot="-5400000" vert="horz"/>
          <a:lstStyle/>
          <a:p>
            <a:pPr>
              <a:defRPr/>
            </a:pPr>
            <a:endParaRPr lang="fr-FR"/>
          </a:p>
        </c:txPr>
        <c:crossAx val="1"/>
        <c:crosses val="autoZero"/>
        <c:auto val="1"/>
        <c:lblOffset val="100"/>
        <c:baseTimeUnit val="days"/>
      </c:dateAx>
      <c:valAx>
        <c:axId val="1"/>
        <c:scaling>
          <c:orientation val="minMax"/>
        </c:scaling>
        <c:delete val="0"/>
        <c:axPos val="l"/>
        <c:majorGridlines/>
        <c:numFmt formatCode="0.0" sourceLinked="0"/>
        <c:majorTickMark val="out"/>
        <c:minorTickMark val="none"/>
        <c:tickLblPos val="nextTo"/>
        <c:crossAx val="570478175"/>
        <c:crosses val="autoZero"/>
        <c:crossBetween val="between"/>
      </c:valAx>
    </c:plotArea>
    <c:plotVisOnly val="1"/>
    <c:dispBlanksAs val="gap"/>
    <c:showDLblsOverMax val="0"/>
  </c:chart>
  <c:printSettings>
    <c:headerFooter/>
    <c:pageMargins b="0.75000000000000433" l="0.70000000000000062" r="0.70000000000000062" t="0.75000000000000433"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lineChart>
        <c:grouping val="standard"/>
        <c:varyColors val="0"/>
        <c:ser>
          <c:idx val="0"/>
          <c:order val="0"/>
          <c:tx>
            <c:strRef>
              <c:f>Profils!$L$1</c:f>
              <c:strCache>
                <c:ptCount val="1"/>
                <c:pt idx="0">
                  <c:v>P019</c:v>
                </c:pt>
              </c:strCache>
            </c:strRef>
          </c:tx>
          <c:spPr>
            <a:ln w="19050"/>
          </c:spPr>
          <c:marker>
            <c:symbol val="none"/>
          </c:marker>
          <c:cat>
            <c:numRef>
              <c:f>Profils!$B$2:$B$365</c:f>
              <c:numCache>
                <c:formatCode>m/d/yyyy</c:formatCode>
                <c:ptCount val="364"/>
                <c:pt idx="0">
                  <c:v>46113</c:v>
                </c:pt>
                <c:pt idx="1">
                  <c:v>46114</c:v>
                </c:pt>
                <c:pt idx="2">
                  <c:v>46115</c:v>
                </c:pt>
                <c:pt idx="3">
                  <c:v>46116</c:v>
                </c:pt>
                <c:pt idx="4">
                  <c:v>46117</c:v>
                </c:pt>
                <c:pt idx="5">
                  <c:v>46118</c:v>
                </c:pt>
                <c:pt idx="6">
                  <c:v>46119</c:v>
                </c:pt>
                <c:pt idx="7">
                  <c:v>46120</c:v>
                </c:pt>
                <c:pt idx="8">
                  <c:v>46121</c:v>
                </c:pt>
                <c:pt idx="9">
                  <c:v>46122</c:v>
                </c:pt>
                <c:pt idx="10">
                  <c:v>46123</c:v>
                </c:pt>
                <c:pt idx="11">
                  <c:v>46124</c:v>
                </c:pt>
                <c:pt idx="12">
                  <c:v>46125</c:v>
                </c:pt>
                <c:pt idx="13">
                  <c:v>46126</c:v>
                </c:pt>
                <c:pt idx="14">
                  <c:v>46127</c:v>
                </c:pt>
                <c:pt idx="15">
                  <c:v>46128</c:v>
                </c:pt>
                <c:pt idx="16">
                  <c:v>46129</c:v>
                </c:pt>
                <c:pt idx="17">
                  <c:v>46130</c:v>
                </c:pt>
                <c:pt idx="18">
                  <c:v>46131</c:v>
                </c:pt>
                <c:pt idx="19">
                  <c:v>46132</c:v>
                </c:pt>
                <c:pt idx="20">
                  <c:v>46133</c:v>
                </c:pt>
                <c:pt idx="21">
                  <c:v>46134</c:v>
                </c:pt>
                <c:pt idx="22">
                  <c:v>46135</c:v>
                </c:pt>
                <c:pt idx="23">
                  <c:v>46136</c:v>
                </c:pt>
                <c:pt idx="24">
                  <c:v>46137</c:v>
                </c:pt>
                <c:pt idx="25">
                  <c:v>46138</c:v>
                </c:pt>
                <c:pt idx="26">
                  <c:v>46139</c:v>
                </c:pt>
                <c:pt idx="27">
                  <c:v>46140</c:v>
                </c:pt>
                <c:pt idx="28">
                  <c:v>46141</c:v>
                </c:pt>
                <c:pt idx="29">
                  <c:v>46142</c:v>
                </c:pt>
                <c:pt idx="30">
                  <c:v>46143</c:v>
                </c:pt>
                <c:pt idx="31">
                  <c:v>46144</c:v>
                </c:pt>
                <c:pt idx="32">
                  <c:v>46145</c:v>
                </c:pt>
                <c:pt idx="33">
                  <c:v>46146</c:v>
                </c:pt>
                <c:pt idx="34">
                  <c:v>46147</c:v>
                </c:pt>
                <c:pt idx="35">
                  <c:v>46148</c:v>
                </c:pt>
                <c:pt idx="36">
                  <c:v>46149</c:v>
                </c:pt>
                <c:pt idx="37">
                  <c:v>46150</c:v>
                </c:pt>
                <c:pt idx="38">
                  <c:v>46151</c:v>
                </c:pt>
                <c:pt idx="39">
                  <c:v>46152</c:v>
                </c:pt>
                <c:pt idx="40">
                  <c:v>46153</c:v>
                </c:pt>
                <c:pt idx="41">
                  <c:v>46154</c:v>
                </c:pt>
                <c:pt idx="42">
                  <c:v>46155</c:v>
                </c:pt>
                <c:pt idx="43">
                  <c:v>46156</c:v>
                </c:pt>
                <c:pt idx="44">
                  <c:v>46157</c:v>
                </c:pt>
                <c:pt idx="45">
                  <c:v>46158</c:v>
                </c:pt>
                <c:pt idx="46">
                  <c:v>46159</c:v>
                </c:pt>
                <c:pt idx="47">
                  <c:v>46160</c:v>
                </c:pt>
                <c:pt idx="48">
                  <c:v>46161</c:v>
                </c:pt>
                <c:pt idx="49">
                  <c:v>46162</c:v>
                </c:pt>
                <c:pt idx="50">
                  <c:v>46163</c:v>
                </c:pt>
                <c:pt idx="51">
                  <c:v>46164</c:v>
                </c:pt>
                <c:pt idx="52">
                  <c:v>46165</c:v>
                </c:pt>
                <c:pt idx="53">
                  <c:v>46166</c:v>
                </c:pt>
                <c:pt idx="54">
                  <c:v>46167</c:v>
                </c:pt>
                <c:pt idx="55">
                  <c:v>46168</c:v>
                </c:pt>
                <c:pt idx="56">
                  <c:v>46169</c:v>
                </c:pt>
                <c:pt idx="57">
                  <c:v>46170</c:v>
                </c:pt>
                <c:pt idx="58">
                  <c:v>46171</c:v>
                </c:pt>
                <c:pt idx="59">
                  <c:v>46172</c:v>
                </c:pt>
                <c:pt idx="60">
                  <c:v>46173</c:v>
                </c:pt>
                <c:pt idx="61">
                  <c:v>46174</c:v>
                </c:pt>
                <c:pt idx="62">
                  <c:v>46175</c:v>
                </c:pt>
                <c:pt idx="63">
                  <c:v>46176</c:v>
                </c:pt>
                <c:pt idx="64">
                  <c:v>46177</c:v>
                </c:pt>
                <c:pt idx="65">
                  <c:v>46178</c:v>
                </c:pt>
                <c:pt idx="66">
                  <c:v>46179</c:v>
                </c:pt>
                <c:pt idx="67">
                  <c:v>46180</c:v>
                </c:pt>
                <c:pt idx="68">
                  <c:v>46181</c:v>
                </c:pt>
                <c:pt idx="69">
                  <c:v>46182</c:v>
                </c:pt>
                <c:pt idx="70">
                  <c:v>46183</c:v>
                </c:pt>
                <c:pt idx="71">
                  <c:v>46184</c:v>
                </c:pt>
                <c:pt idx="72">
                  <c:v>46185</c:v>
                </c:pt>
                <c:pt idx="73">
                  <c:v>46186</c:v>
                </c:pt>
                <c:pt idx="74">
                  <c:v>46187</c:v>
                </c:pt>
                <c:pt idx="75">
                  <c:v>46188</c:v>
                </c:pt>
                <c:pt idx="76">
                  <c:v>46189</c:v>
                </c:pt>
                <c:pt idx="77">
                  <c:v>46190</c:v>
                </c:pt>
                <c:pt idx="78">
                  <c:v>46191</c:v>
                </c:pt>
                <c:pt idx="79">
                  <c:v>46192</c:v>
                </c:pt>
                <c:pt idx="80">
                  <c:v>46193</c:v>
                </c:pt>
                <c:pt idx="81">
                  <c:v>46194</c:v>
                </c:pt>
                <c:pt idx="82">
                  <c:v>46195</c:v>
                </c:pt>
                <c:pt idx="83">
                  <c:v>46196</c:v>
                </c:pt>
                <c:pt idx="84">
                  <c:v>46197</c:v>
                </c:pt>
                <c:pt idx="85">
                  <c:v>46198</c:v>
                </c:pt>
                <c:pt idx="86">
                  <c:v>46199</c:v>
                </c:pt>
                <c:pt idx="87">
                  <c:v>46200</c:v>
                </c:pt>
                <c:pt idx="88">
                  <c:v>46201</c:v>
                </c:pt>
                <c:pt idx="89">
                  <c:v>46202</c:v>
                </c:pt>
                <c:pt idx="90">
                  <c:v>46203</c:v>
                </c:pt>
                <c:pt idx="91">
                  <c:v>46204</c:v>
                </c:pt>
                <c:pt idx="92">
                  <c:v>46205</c:v>
                </c:pt>
                <c:pt idx="93">
                  <c:v>46206</c:v>
                </c:pt>
                <c:pt idx="94">
                  <c:v>46207</c:v>
                </c:pt>
                <c:pt idx="95">
                  <c:v>46208</c:v>
                </c:pt>
                <c:pt idx="96">
                  <c:v>46209</c:v>
                </c:pt>
                <c:pt idx="97">
                  <c:v>46210</c:v>
                </c:pt>
                <c:pt idx="98">
                  <c:v>46211</c:v>
                </c:pt>
                <c:pt idx="99">
                  <c:v>46212</c:v>
                </c:pt>
                <c:pt idx="100">
                  <c:v>46213</c:v>
                </c:pt>
                <c:pt idx="101">
                  <c:v>46214</c:v>
                </c:pt>
                <c:pt idx="102">
                  <c:v>46215</c:v>
                </c:pt>
                <c:pt idx="103">
                  <c:v>46216</c:v>
                </c:pt>
                <c:pt idx="104">
                  <c:v>46217</c:v>
                </c:pt>
                <c:pt idx="105">
                  <c:v>46218</c:v>
                </c:pt>
                <c:pt idx="106">
                  <c:v>46219</c:v>
                </c:pt>
                <c:pt idx="107">
                  <c:v>46220</c:v>
                </c:pt>
                <c:pt idx="108">
                  <c:v>46221</c:v>
                </c:pt>
                <c:pt idx="109">
                  <c:v>46222</c:v>
                </c:pt>
                <c:pt idx="110">
                  <c:v>46223</c:v>
                </c:pt>
                <c:pt idx="111">
                  <c:v>46224</c:v>
                </c:pt>
                <c:pt idx="112">
                  <c:v>46225</c:v>
                </c:pt>
                <c:pt idx="113">
                  <c:v>46226</c:v>
                </c:pt>
                <c:pt idx="114">
                  <c:v>46227</c:v>
                </c:pt>
                <c:pt idx="115">
                  <c:v>46228</c:v>
                </c:pt>
                <c:pt idx="116">
                  <c:v>46229</c:v>
                </c:pt>
                <c:pt idx="117">
                  <c:v>46230</c:v>
                </c:pt>
                <c:pt idx="118">
                  <c:v>46231</c:v>
                </c:pt>
                <c:pt idx="119">
                  <c:v>46232</c:v>
                </c:pt>
                <c:pt idx="120">
                  <c:v>46233</c:v>
                </c:pt>
                <c:pt idx="121">
                  <c:v>46234</c:v>
                </c:pt>
                <c:pt idx="122">
                  <c:v>46235</c:v>
                </c:pt>
                <c:pt idx="123">
                  <c:v>46236</c:v>
                </c:pt>
                <c:pt idx="124">
                  <c:v>46237</c:v>
                </c:pt>
                <c:pt idx="125">
                  <c:v>46238</c:v>
                </c:pt>
                <c:pt idx="126">
                  <c:v>46239</c:v>
                </c:pt>
                <c:pt idx="127">
                  <c:v>46240</c:v>
                </c:pt>
                <c:pt idx="128">
                  <c:v>46241</c:v>
                </c:pt>
                <c:pt idx="129">
                  <c:v>46242</c:v>
                </c:pt>
                <c:pt idx="130">
                  <c:v>46243</c:v>
                </c:pt>
                <c:pt idx="131">
                  <c:v>46244</c:v>
                </c:pt>
                <c:pt idx="132">
                  <c:v>46245</c:v>
                </c:pt>
                <c:pt idx="133">
                  <c:v>46246</c:v>
                </c:pt>
                <c:pt idx="134">
                  <c:v>46247</c:v>
                </c:pt>
                <c:pt idx="135">
                  <c:v>46248</c:v>
                </c:pt>
                <c:pt idx="136">
                  <c:v>46249</c:v>
                </c:pt>
                <c:pt idx="137">
                  <c:v>46250</c:v>
                </c:pt>
                <c:pt idx="138">
                  <c:v>46251</c:v>
                </c:pt>
                <c:pt idx="139">
                  <c:v>46252</c:v>
                </c:pt>
                <c:pt idx="140">
                  <c:v>46253</c:v>
                </c:pt>
                <c:pt idx="141">
                  <c:v>46254</c:v>
                </c:pt>
                <c:pt idx="142">
                  <c:v>46255</c:v>
                </c:pt>
                <c:pt idx="143">
                  <c:v>46256</c:v>
                </c:pt>
                <c:pt idx="144">
                  <c:v>46257</c:v>
                </c:pt>
                <c:pt idx="145">
                  <c:v>46258</c:v>
                </c:pt>
                <c:pt idx="146">
                  <c:v>46259</c:v>
                </c:pt>
                <c:pt idx="147">
                  <c:v>46260</c:v>
                </c:pt>
                <c:pt idx="148">
                  <c:v>46261</c:v>
                </c:pt>
                <c:pt idx="149">
                  <c:v>46262</c:v>
                </c:pt>
                <c:pt idx="150">
                  <c:v>46263</c:v>
                </c:pt>
                <c:pt idx="151">
                  <c:v>46264</c:v>
                </c:pt>
                <c:pt idx="152">
                  <c:v>46265</c:v>
                </c:pt>
                <c:pt idx="153">
                  <c:v>46266</c:v>
                </c:pt>
                <c:pt idx="154">
                  <c:v>46267</c:v>
                </c:pt>
                <c:pt idx="155">
                  <c:v>46268</c:v>
                </c:pt>
                <c:pt idx="156">
                  <c:v>46269</c:v>
                </c:pt>
                <c:pt idx="157">
                  <c:v>46270</c:v>
                </c:pt>
                <c:pt idx="158">
                  <c:v>46271</c:v>
                </c:pt>
                <c:pt idx="159">
                  <c:v>46272</c:v>
                </c:pt>
                <c:pt idx="160">
                  <c:v>46273</c:v>
                </c:pt>
                <c:pt idx="161">
                  <c:v>46274</c:v>
                </c:pt>
                <c:pt idx="162">
                  <c:v>46275</c:v>
                </c:pt>
                <c:pt idx="163">
                  <c:v>46276</c:v>
                </c:pt>
                <c:pt idx="164">
                  <c:v>46277</c:v>
                </c:pt>
                <c:pt idx="165">
                  <c:v>46278</c:v>
                </c:pt>
                <c:pt idx="166">
                  <c:v>46279</c:v>
                </c:pt>
                <c:pt idx="167">
                  <c:v>46280</c:v>
                </c:pt>
                <c:pt idx="168">
                  <c:v>46281</c:v>
                </c:pt>
                <c:pt idx="169">
                  <c:v>46282</c:v>
                </c:pt>
                <c:pt idx="170">
                  <c:v>46283</c:v>
                </c:pt>
                <c:pt idx="171">
                  <c:v>46284</c:v>
                </c:pt>
                <c:pt idx="172">
                  <c:v>46285</c:v>
                </c:pt>
                <c:pt idx="173">
                  <c:v>46286</c:v>
                </c:pt>
                <c:pt idx="174">
                  <c:v>46287</c:v>
                </c:pt>
                <c:pt idx="175">
                  <c:v>46288</c:v>
                </c:pt>
                <c:pt idx="176">
                  <c:v>46289</c:v>
                </c:pt>
                <c:pt idx="177">
                  <c:v>46290</c:v>
                </c:pt>
                <c:pt idx="178">
                  <c:v>46291</c:v>
                </c:pt>
                <c:pt idx="179">
                  <c:v>46292</c:v>
                </c:pt>
                <c:pt idx="180">
                  <c:v>46293</c:v>
                </c:pt>
                <c:pt idx="181">
                  <c:v>46294</c:v>
                </c:pt>
                <c:pt idx="182">
                  <c:v>46295</c:v>
                </c:pt>
                <c:pt idx="183">
                  <c:v>46296</c:v>
                </c:pt>
                <c:pt idx="184">
                  <c:v>46297</c:v>
                </c:pt>
                <c:pt idx="185">
                  <c:v>46298</c:v>
                </c:pt>
                <c:pt idx="186">
                  <c:v>46299</c:v>
                </c:pt>
                <c:pt idx="187">
                  <c:v>46300</c:v>
                </c:pt>
                <c:pt idx="188">
                  <c:v>46301</c:v>
                </c:pt>
                <c:pt idx="189">
                  <c:v>46302</c:v>
                </c:pt>
                <c:pt idx="190">
                  <c:v>46303</c:v>
                </c:pt>
                <c:pt idx="191">
                  <c:v>46304</c:v>
                </c:pt>
                <c:pt idx="192">
                  <c:v>46305</c:v>
                </c:pt>
                <c:pt idx="193">
                  <c:v>46306</c:v>
                </c:pt>
                <c:pt idx="194">
                  <c:v>46307</c:v>
                </c:pt>
                <c:pt idx="195">
                  <c:v>46308</c:v>
                </c:pt>
                <c:pt idx="196">
                  <c:v>46309</c:v>
                </c:pt>
                <c:pt idx="197">
                  <c:v>46310</c:v>
                </c:pt>
                <c:pt idx="198">
                  <c:v>46311</c:v>
                </c:pt>
                <c:pt idx="199">
                  <c:v>46312</c:v>
                </c:pt>
                <c:pt idx="200">
                  <c:v>46313</c:v>
                </c:pt>
                <c:pt idx="201">
                  <c:v>46314</c:v>
                </c:pt>
                <c:pt idx="202">
                  <c:v>46315</c:v>
                </c:pt>
                <c:pt idx="203">
                  <c:v>46316</c:v>
                </c:pt>
                <c:pt idx="204">
                  <c:v>46317</c:v>
                </c:pt>
                <c:pt idx="205">
                  <c:v>46318</c:v>
                </c:pt>
                <c:pt idx="206">
                  <c:v>46319</c:v>
                </c:pt>
                <c:pt idx="207">
                  <c:v>46320</c:v>
                </c:pt>
                <c:pt idx="208">
                  <c:v>46321</c:v>
                </c:pt>
                <c:pt idx="209">
                  <c:v>46322</c:v>
                </c:pt>
                <c:pt idx="210">
                  <c:v>46323</c:v>
                </c:pt>
                <c:pt idx="211">
                  <c:v>46324</c:v>
                </c:pt>
                <c:pt idx="212">
                  <c:v>46325</c:v>
                </c:pt>
                <c:pt idx="213">
                  <c:v>46326</c:v>
                </c:pt>
                <c:pt idx="214">
                  <c:v>46327</c:v>
                </c:pt>
                <c:pt idx="215">
                  <c:v>46328</c:v>
                </c:pt>
                <c:pt idx="216">
                  <c:v>46329</c:v>
                </c:pt>
                <c:pt idx="217">
                  <c:v>46330</c:v>
                </c:pt>
                <c:pt idx="218">
                  <c:v>46331</c:v>
                </c:pt>
                <c:pt idx="219">
                  <c:v>46332</c:v>
                </c:pt>
                <c:pt idx="220">
                  <c:v>46333</c:v>
                </c:pt>
                <c:pt idx="221">
                  <c:v>46334</c:v>
                </c:pt>
                <c:pt idx="222">
                  <c:v>46335</c:v>
                </c:pt>
                <c:pt idx="223">
                  <c:v>46336</c:v>
                </c:pt>
                <c:pt idx="224">
                  <c:v>46337</c:v>
                </c:pt>
                <c:pt idx="225">
                  <c:v>46338</c:v>
                </c:pt>
                <c:pt idx="226">
                  <c:v>46339</c:v>
                </c:pt>
                <c:pt idx="227">
                  <c:v>46340</c:v>
                </c:pt>
                <c:pt idx="228">
                  <c:v>46341</c:v>
                </c:pt>
                <c:pt idx="229">
                  <c:v>46342</c:v>
                </c:pt>
                <c:pt idx="230">
                  <c:v>46343</c:v>
                </c:pt>
                <c:pt idx="231">
                  <c:v>46344</c:v>
                </c:pt>
                <c:pt idx="232">
                  <c:v>46345</c:v>
                </c:pt>
                <c:pt idx="233">
                  <c:v>46346</c:v>
                </c:pt>
                <c:pt idx="234">
                  <c:v>46347</c:v>
                </c:pt>
                <c:pt idx="235">
                  <c:v>46348</c:v>
                </c:pt>
                <c:pt idx="236">
                  <c:v>46349</c:v>
                </c:pt>
                <c:pt idx="237">
                  <c:v>46350</c:v>
                </c:pt>
                <c:pt idx="238">
                  <c:v>46351</c:v>
                </c:pt>
                <c:pt idx="239">
                  <c:v>46352</c:v>
                </c:pt>
                <c:pt idx="240">
                  <c:v>46353</c:v>
                </c:pt>
                <c:pt idx="241">
                  <c:v>46354</c:v>
                </c:pt>
                <c:pt idx="242">
                  <c:v>46355</c:v>
                </c:pt>
                <c:pt idx="243">
                  <c:v>46356</c:v>
                </c:pt>
                <c:pt idx="244">
                  <c:v>46357</c:v>
                </c:pt>
                <c:pt idx="245">
                  <c:v>46358</c:v>
                </c:pt>
                <c:pt idx="246">
                  <c:v>46359</c:v>
                </c:pt>
                <c:pt idx="247">
                  <c:v>46360</c:v>
                </c:pt>
                <c:pt idx="248">
                  <c:v>46361</c:v>
                </c:pt>
                <c:pt idx="249">
                  <c:v>46362</c:v>
                </c:pt>
                <c:pt idx="250">
                  <c:v>46363</c:v>
                </c:pt>
                <c:pt idx="251">
                  <c:v>46364</c:v>
                </c:pt>
                <c:pt idx="252">
                  <c:v>46365</c:v>
                </c:pt>
                <c:pt idx="253">
                  <c:v>46366</c:v>
                </c:pt>
                <c:pt idx="254">
                  <c:v>46367</c:v>
                </c:pt>
                <c:pt idx="255">
                  <c:v>46368</c:v>
                </c:pt>
                <c:pt idx="256">
                  <c:v>46369</c:v>
                </c:pt>
                <c:pt idx="257">
                  <c:v>46370</c:v>
                </c:pt>
                <c:pt idx="258">
                  <c:v>46371</c:v>
                </c:pt>
                <c:pt idx="259">
                  <c:v>46372</c:v>
                </c:pt>
                <c:pt idx="260">
                  <c:v>46373</c:v>
                </c:pt>
                <c:pt idx="261">
                  <c:v>46374</c:v>
                </c:pt>
                <c:pt idx="262">
                  <c:v>46375</c:v>
                </c:pt>
                <c:pt idx="263">
                  <c:v>46376</c:v>
                </c:pt>
                <c:pt idx="264">
                  <c:v>46377</c:v>
                </c:pt>
                <c:pt idx="265">
                  <c:v>46378</c:v>
                </c:pt>
                <c:pt idx="266">
                  <c:v>46379</c:v>
                </c:pt>
                <c:pt idx="267">
                  <c:v>46380</c:v>
                </c:pt>
                <c:pt idx="268">
                  <c:v>46381</c:v>
                </c:pt>
                <c:pt idx="269">
                  <c:v>46382</c:v>
                </c:pt>
                <c:pt idx="270">
                  <c:v>46383</c:v>
                </c:pt>
                <c:pt idx="271">
                  <c:v>46384</c:v>
                </c:pt>
                <c:pt idx="272">
                  <c:v>46385</c:v>
                </c:pt>
                <c:pt idx="273">
                  <c:v>46386</c:v>
                </c:pt>
                <c:pt idx="274">
                  <c:v>46387</c:v>
                </c:pt>
                <c:pt idx="275">
                  <c:v>46388</c:v>
                </c:pt>
                <c:pt idx="276">
                  <c:v>46389</c:v>
                </c:pt>
                <c:pt idx="277">
                  <c:v>46390</c:v>
                </c:pt>
                <c:pt idx="278">
                  <c:v>46391</c:v>
                </c:pt>
                <c:pt idx="279">
                  <c:v>46392</c:v>
                </c:pt>
                <c:pt idx="280">
                  <c:v>46393</c:v>
                </c:pt>
                <c:pt idx="281">
                  <c:v>46394</c:v>
                </c:pt>
                <c:pt idx="282">
                  <c:v>46395</c:v>
                </c:pt>
                <c:pt idx="283">
                  <c:v>46396</c:v>
                </c:pt>
                <c:pt idx="284">
                  <c:v>46397</c:v>
                </c:pt>
                <c:pt idx="285">
                  <c:v>46398</c:v>
                </c:pt>
                <c:pt idx="286">
                  <c:v>46399</c:v>
                </c:pt>
                <c:pt idx="287">
                  <c:v>46400</c:v>
                </c:pt>
                <c:pt idx="288">
                  <c:v>46401</c:v>
                </c:pt>
                <c:pt idx="289">
                  <c:v>46402</c:v>
                </c:pt>
                <c:pt idx="290">
                  <c:v>46403</c:v>
                </c:pt>
                <c:pt idx="291">
                  <c:v>46404</c:v>
                </c:pt>
                <c:pt idx="292">
                  <c:v>46405</c:v>
                </c:pt>
                <c:pt idx="293">
                  <c:v>46406</c:v>
                </c:pt>
                <c:pt idx="294">
                  <c:v>46407</c:v>
                </c:pt>
                <c:pt idx="295">
                  <c:v>46408</c:v>
                </c:pt>
                <c:pt idx="296">
                  <c:v>46409</c:v>
                </c:pt>
                <c:pt idx="297">
                  <c:v>46410</c:v>
                </c:pt>
                <c:pt idx="298">
                  <c:v>46411</c:v>
                </c:pt>
                <c:pt idx="299">
                  <c:v>46412</c:v>
                </c:pt>
                <c:pt idx="300">
                  <c:v>46413</c:v>
                </c:pt>
                <c:pt idx="301">
                  <c:v>46414</c:v>
                </c:pt>
                <c:pt idx="302">
                  <c:v>46415</c:v>
                </c:pt>
                <c:pt idx="303">
                  <c:v>46416</c:v>
                </c:pt>
                <c:pt idx="304">
                  <c:v>46417</c:v>
                </c:pt>
                <c:pt idx="305">
                  <c:v>46418</c:v>
                </c:pt>
                <c:pt idx="306">
                  <c:v>46419</c:v>
                </c:pt>
                <c:pt idx="307">
                  <c:v>46420</c:v>
                </c:pt>
                <c:pt idx="308">
                  <c:v>46421</c:v>
                </c:pt>
                <c:pt idx="309">
                  <c:v>46422</c:v>
                </c:pt>
                <c:pt idx="310">
                  <c:v>46423</c:v>
                </c:pt>
                <c:pt idx="311">
                  <c:v>46424</c:v>
                </c:pt>
                <c:pt idx="312">
                  <c:v>46425</c:v>
                </c:pt>
                <c:pt idx="313">
                  <c:v>46426</c:v>
                </c:pt>
                <c:pt idx="314">
                  <c:v>46427</c:v>
                </c:pt>
                <c:pt idx="315">
                  <c:v>46428</c:v>
                </c:pt>
                <c:pt idx="316">
                  <c:v>46429</c:v>
                </c:pt>
                <c:pt idx="317">
                  <c:v>46430</c:v>
                </c:pt>
                <c:pt idx="318">
                  <c:v>46431</c:v>
                </c:pt>
                <c:pt idx="319">
                  <c:v>46432</c:v>
                </c:pt>
                <c:pt idx="320">
                  <c:v>46433</c:v>
                </c:pt>
                <c:pt idx="321">
                  <c:v>46434</c:v>
                </c:pt>
                <c:pt idx="322">
                  <c:v>46435</c:v>
                </c:pt>
                <c:pt idx="323">
                  <c:v>46436</c:v>
                </c:pt>
                <c:pt idx="324">
                  <c:v>46437</c:v>
                </c:pt>
                <c:pt idx="325">
                  <c:v>46438</c:v>
                </c:pt>
                <c:pt idx="326">
                  <c:v>46439</c:v>
                </c:pt>
                <c:pt idx="327">
                  <c:v>46440</c:v>
                </c:pt>
                <c:pt idx="328">
                  <c:v>46441</c:v>
                </c:pt>
                <c:pt idx="329">
                  <c:v>46442</c:v>
                </c:pt>
                <c:pt idx="330">
                  <c:v>46443</c:v>
                </c:pt>
                <c:pt idx="331">
                  <c:v>46444</c:v>
                </c:pt>
                <c:pt idx="332">
                  <c:v>46445</c:v>
                </c:pt>
                <c:pt idx="333">
                  <c:v>46446</c:v>
                </c:pt>
                <c:pt idx="334">
                  <c:v>46447</c:v>
                </c:pt>
                <c:pt idx="335">
                  <c:v>46448</c:v>
                </c:pt>
                <c:pt idx="336">
                  <c:v>46449</c:v>
                </c:pt>
                <c:pt idx="337">
                  <c:v>46450</c:v>
                </c:pt>
                <c:pt idx="338">
                  <c:v>46451</c:v>
                </c:pt>
                <c:pt idx="339">
                  <c:v>46452</c:v>
                </c:pt>
                <c:pt idx="340">
                  <c:v>46453</c:v>
                </c:pt>
                <c:pt idx="341">
                  <c:v>46454</c:v>
                </c:pt>
                <c:pt idx="342">
                  <c:v>46455</c:v>
                </c:pt>
                <c:pt idx="343">
                  <c:v>46456</c:v>
                </c:pt>
                <c:pt idx="344">
                  <c:v>46457</c:v>
                </c:pt>
                <c:pt idx="345">
                  <c:v>46458</c:v>
                </c:pt>
                <c:pt idx="346">
                  <c:v>46459</c:v>
                </c:pt>
                <c:pt idx="347">
                  <c:v>46460</c:v>
                </c:pt>
                <c:pt idx="348">
                  <c:v>46461</c:v>
                </c:pt>
                <c:pt idx="349">
                  <c:v>46462</c:v>
                </c:pt>
                <c:pt idx="350">
                  <c:v>46463</c:v>
                </c:pt>
                <c:pt idx="351">
                  <c:v>46464</c:v>
                </c:pt>
                <c:pt idx="352">
                  <c:v>46465</c:v>
                </c:pt>
                <c:pt idx="353">
                  <c:v>46466</c:v>
                </c:pt>
                <c:pt idx="354">
                  <c:v>46467</c:v>
                </c:pt>
                <c:pt idx="355">
                  <c:v>46468</c:v>
                </c:pt>
                <c:pt idx="356">
                  <c:v>46469</c:v>
                </c:pt>
                <c:pt idx="357">
                  <c:v>46470</c:v>
                </c:pt>
                <c:pt idx="358">
                  <c:v>46471</c:v>
                </c:pt>
                <c:pt idx="359">
                  <c:v>46472</c:v>
                </c:pt>
                <c:pt idx="360">
                  <c:v>46473</c:v>
                </c:pt>
                <c:pt idx="361">
                  <c:v>46474</c:v>
                </c:pt>
                <c:pt idx="362">
                  <c:v>46475</c:v>
                </c:pt>
                <c:pt idx="363">
                  <c:v>46476</c:v>
                </c:pt>
              </c:numCache>
            </c:numRef>
          </c:cat>
          <c:val>
            <c:numRef>
              <c:f>Profils!$L$2:$L$365</c:f>
              <c:numCache>
                <c:formatCode>General</c:formatCode>
                <c:ptCount val="364"/>
                <c:pt idx="0">
                  <c:v>1.30309024</c:v>
                </c:pt>
                <c:pt idx="1">
                  <c:v>1.2746567099999999</c:v>
                </c:pt>
                <c:pt idx="2">
                  <c:v>1.2438802</c:v>
                </c:pt>
                <c:pt idx="3">
                  <c:v>1.05469452</c:v>
                </c:pt>
                <c:pt idx="4">
                  <c:v>1.0285568599999999</c:v>
                </c:pt>
                <c:pt idx="5">
                  <c:v>1.00241399</c:v>
                </c:pt>
                <c:pt idx="6">
                  <c:v>1.1300717</c:v>
                </c:pt>
                <c:pt idx="7">
                  <c:v>1.0992698700000001</c:v>
                </c:pt>
                <c:pt idx="8">
                  <c:v>1.07313836</c:v>
                </c:pt>
                <c:pt idx="9">
                  <c:v>1.044665</c:v>
                </c:pt>
                <c:pt idx="10">
                  <c:v>0.87162724999999996</c:v>
                </c:pt>
                <c:pt idx="11">
                  <c:v>0.84760038999999998</c:v>
                </c:pt>
                <c:pt idx="12">
                  <c:v>0.96389504000000004</c:v>
                </c:pt>
                <c:pt idx="13">
                  <c:v>0.93306827000000003</c:v>
                </c:pt>
                <c:pt idx="14">
                  <c:v>0.90691283</c:v>
                </c:pt>
                <c:pt idx="15">
                  <c:v>0.88075398999999999</c:v>
                </c:pt>
                <c:pt idx="16">
                  <c:v>0.85692937000000002</c:v>
                </c:pt>
                <c:pt idx="17">
                  <c:v>0.69907326999999997</c:v>
                </c:pt>
                <c:pt idx="18">
                  <c:v>0.67502189000000001</c:v>
                </c:pt>
                <c:pt idx="19">
                  <c:v>0.77608801000000005</c:v>
                </c:pt>
                <c:pt idx="20">
                  <c:v>0.74991468999999999</c:v>
                </c:pt>
                <c:pt idx="21">
                  <c:v>0.72607642999999999</c:v>
                </c:pt>
                <c:pt idx="22">
                  <c:v>0.69989849000000004</c:v>
                </c:pt>
                <c:pt idx="23">
                  <c:v>0.67371848000000001</c:v>
                </c:pt>
                <c:pt idx="24">
                  <c:v>0.53280433999999999</c:v>
                </c:pt>
                <c:pt idx="25">
                  <c:v>0.51088062999999995</c:v>
                </c:pt>
                <c:pt idx="26">
                  <c:v>0.59750513000000005</c:v>
                </c:pt>
                <c:pt idx="27">
                  <c:v>0.57365591999999999</c:v>
                </c:pt>
                <c:pt idx="28">
                  <c:v>0.54980543999999998</c:v>
                </c:pt>
                <c:pt idx="29">
                  <c:v>0.52361639999999998</c:v>
                </c:pt>
                <c:pt idx="30">
                  <c:v>0.39695329000000001</c:v>
                </c:pt>
                <c:pt idx="31">
                  <c:v>0.37287842999999998</c:v>
                </c:pt>
                <c:pt idx="32">
                  <c:v>0.34880288999999998</c:v>
                </c:pt>
                <c:pt idx="33">
                  <c:v>0.42352699999999999</c:v>
                </c:pt>
                <c:pt idx="34">
                  <c:v>0.39733463000000002</c:v>
                </c:pt>
                <c:pt idx="35">
                  <c:v>0.37347947999999997</c:v>
                </c:pt>
                <c:pt idx="36">
                  <c:v>0.34962423999999998</c:v>
                </c:pt>
                <c:pt idx="37">
                  <c:v>0.23485143999999999</c:v>
                </c:pt>
                <c:pt idx="38">
                  <c:v>0.21291864999999999</c:v>
                </c:pt>
                <c:pt idx="39">
                  <c:v>0.18884242000000001</c:v>
                </c:pt>
                <c:pt idx="40">
                  <c:v>0.24719276000000001</c:v>
                </c:pt>
                <c:pt idx="41">
                  <c:v>0.22100163</c:v>
                </c:pt>
                <c:pt idx="42">
                  <c:v>0.19714863999999999</c:v>
                </c:pt>
                <c:pt idx="43">
                  <c:v>9.4687160000000006E-2</c:v>
                </c:pt>
                <c:pt idx="44">
                  <c:v>0.14477035999999999</c:v>
                </c:pt>
                <c:pt idx="45">
                  <c:v>5.107693E-2</c:v>
                </c:pt>
                <c:pt idx="46">
                  <c:v>5.0587979999999998E-2</c:v>
                </c:pt>
                <c:pt idx="47">
                  <c:v>6.3873700000000005E-2</c:v>
                </c:pt>
                <c:pt idx="48">
                  <c:v>5.793682E-2</c:v>
                </c:pt>
                <c:pt idx="49">
                  <c:v>5.7466450000000002E-2</c:v>
                </c:pt>
                <c:pt idx="50">
                  <c:v>5.6997699999999998E-2</c:v>
                </c:pt>
                <c:pt idx="51">
                  <c:v>5.6530650000000002E-2</c:v>
                </c:pt>
                <c:pt idx="52">
                  <c:v>4.7685999999999999E-2</c:v>
                </c:pt>
                <c:pt idx="53">
                  <c:v>4.7208630000000001E-2</c:v>
                </c:pt>
                <c:pt idx="54">
                  <c:v>4.6733320000000002E-2</c:v>
                </c:pt>
                <c:pt idx="55">
                  <c:v>5.468158E-2</c:v>
                </c:pt>
                <c:pt idx="56">
                  <c:v>5.422457E-2</c:v>
                </c:pt>
                <c:pt idx="57">
                  <c:v>5.3769850000000001E-2</c:v>
                </c:pt>
                <c:pt idx="58">
                  <c:v>5.3317509999999999E-2</c:v>
                </c:pt>
                <c:pt idx="59">
                  <c:v>4.439121E-2</c:v>
                </c:pt>
                <c:pt idx="60">
                  <c:v>4.393031E-2</c:v>
                </c:pt>
                <c:pt idx="61">
                  <c:v>5.1975630000000002E-2</c:v>
                </c:pt>
                <c:pt idx="62">
                  <c:v>5.1533660000000002E-2</c:v>
                </c:pt>
                <c:pt idx="63">
                  <c:v>5.1094489999999999E-2</c:v>
                </c:pt>
                <c:pt idx="64">
                  <c:v>5.0658210000000002E-2</c:v>
                </c:pt>
                <c:pt idx="65">
                  <c:v>5.0224900000000003E-2</c:v>
                </c:pt>
                <c:pt idx="66">
                  <c:v>4.1224959999999998E-2</c:v>
                </c:pt>
                <c:pt idx="67">
                  <c:v>4.0784849999999997E-2</c:v>
                </c:pt>
                <c:pt idx="68">
                  <c:v>4.8943510000000003E-2</c:v>
                </c:pt>
                <c:pt idx="69">
                  <c:v>4.8522820000000001E-2</c:v>
                </c:pt>
                <c:pt idx="70">
                  <c:v>4.8105490000000001E-2</c:v>
                </c:pt>
                <c:pt idx="71">
                  <c:v>4.7691579999999997E-2</c:v>
                </c:pt>
                <c:pt idx="72">
                  <c:v>4.7281169999999997E-2</c:v>
                </c:pt>
                <c:pt idx="73">
                  <c:v>3.8216079999999999E-2</c:v>
                </c:pt>
                <c:pt idx="74">
                  <c:v>3.780066E-2</c:v>
                </c:pt>
                <c:pt idx="75">
                  <c:v>4.6071689999999998E-2</c:v>
                </c:pt>
                <c:pt idx="76">
                  <c:v>4.5676040000000001E-2</c:v>
                </c:pt>
                <c:pt idx="77">
                  <c:v>4.5284249999999998E-2</c:v>
                </c:pt>
                <c:pt idx="78">
                  <c:v>4.4896419999999999E-2</c:v>
                </c:pt>
                <c:pt idx="79">
                  <c:v>4.4512620000000003E-2</c:v>
                </c:pt>
                <c:pt idx="80">
                  <c:v>3.5391489999999998E-2</c:v>
                </c:pt>
                <c:pt idx="81">
                  <c:v>3.5004569999999999E-2</c:v>
                </c:pt>
                <c:pt idx="82">
                  <c:v>4.3386130000000002E-2</c:v>
                </c:pt>
                <c:pt idx="83">
                  <c:v>4.3019189999999999E-2</c:v>
                </c:pt>
                <c:pt idx="84">
                  <c:v>4.2656670000000001E-2</c:v>
                </c:pt>
                <c:pt idx="85">
                  <c:v>4.2298639999999998E-2</c:v>
                </c:pt>
                <c:pt idx="86">
                  <c:v>4.194519E-2</c:v>
                </c:pt>
                <c:pt idx="87">
                  <c:v>3.2778010000000003E-2</c:v>
                </c:pt>
                <c:pt idx="88">
                  <c:v>3.2423500000000001E-2</c:v>
                </c:pt>
                <c:pt idx="89">
                  <c:v>4.0913070000000003E-2</c:v>
                </c:pt>
                <c:pt idx="90">
                  <c:v>4.0578719999999999E-2</c:v>
                </c:pt>
                <c:pt idx="91">
                  <c:v>4.024937E-2</c:v>
                </c:pt>
                <c:pt idx="92">
                  <c:v>3.9925080000000002E-2</c:v>
                </c:pt>
                <c:pt idx="93">
                  <c:v>3.9605950000000001E-2</c:v>
                </c:pt>
                <c:pt idx="94">
                  <c:v>3.040379E-2</c:v>
                </c:pt>
                <c:pt idx="95">
                  <c:v>3.0085890000000001E-2</c:v>
                </c:pt>
                <c:pt idx="96">
                  <c:v>3.8680430000000002E-2</c:v>
                </c:pt>
                <c:pt idx="97">
                  <c:v>3.8382840000000001E-2</c:v>
                </c:pt>
                <c:pt idx="98">
                  <c:v>3.8090859999999997E-2</c:v>
                </c:pt>
                <c:pt idx="99">
                  <c:v>3.7804589999999999E-2</c:v>
                </c:pt>
                <c:pt idx="100">
                  <c:v>3.7524109999999999E-2</c:v>
                </c:pt>
                <c:pt idx="101">
                  <c:v>2.829928E-2</c:v>
                </c:pt>
                <c:pt idx="102">
                  <c:v>2.8022539999999999E-2</c:v>
                </c:pt>
                <c:pt idx="103">
                  <c:v>3.6718439999999998E-2</c:v>
                </c:pt>
                <c:pt idx="104">
                  <c:v>2.748799E-2</c:v>
                </c:pt>
                <c:pt idx="105">
                  <c:v>3.6212099999999997E-2</c:v>
                </c:pt>
                <c:pt idx="106">
                  <c:v>3.5968449999999999E-2</c:v>
                </c:pt>
                <c:pt idx="107">
                  <c:v>3.5731279999999997E-2</c:v>
                </c:pt>
                <c:pt idx="108">
                  <c:v>2.6497389999999999E-2</c:v>
                </c:pt>
                <c:pt idx="109">
                  <c:v>2.6266689999999999E-2</c:v>
                </c:pt>
                <c:pt idx="110">
                  <c:v>3.5059670000000001E-2</c:v>
                </c:pt>
                <c:pt idx="111">
                  <c:v>3.4849430000000001E-2</c:v>
                </c:pt>
                <c:pt idx="112">
                  <c:v>3.4646169999999997E-2</c:v>
                </c:pt>
                <c:pt idx="113">
                  <c:v>3.4450000000000001E-2</c:v>
                </c:pt>
                <c:pt idx="114">
                  <c:v>3.4261010000000001E-2</c:v>
                </c:pt>
                <c:pt idx="115">
                  <c:v>2.5032869999999999E-2</c:v>
                </c:pt>
                <c:pt idx="116">
                  <c:v>2.485325E-2</c:v>
                </c:pt>
                <c:pt idx="117">
                  <c:v>3.3738129999999998E-2</c:v>
                </c:pt>
                <c:pt idx="118">
                  <c:v>3.3578860000000002E-2</c:v>
                </c:pt>
                <c:pt idx="119">
                  <c:v>3.342726E-2</c:v>
                </c:pt>
                <c:pt idx="120">
                  <c:v>3.3283430000000003E-2</c:v>
                </c:pt>
                <c:pt idx="121">
                  <c:v>3.3147469999999998E-2</c:v>
                </c:pt>
                <c:pt idx="122">
                  <c:v>2.3940880000000001E-2</c:v>
                </c:pt>
                <c:pt idx="123">
                  <c:v>2.381728E-2</c:v>
                </c:pt>
                <c:pt idx="124">
                  <c:v>3.278768E-2</c:v>
                </c:pt>
                <c:pt idx="125">
                  <c:v>3.2684089999999999E-2</c:v>
                </c:pt>
                <c:pt idx="126">
                  <c:v>3.2588800000000001E-2</c:v>
                </c:pt>
                <c:pt idx="127">
                  <c:v>3.2501910000000002E-2</c:v>
                </c:pt>
                <c:pt idx="128">
                  <c:v>3.2423500000000001E-2</c:v>
                </c:pt>
                <c:pt idx="129">
                  <c:v>2.3254850000000001E-2</c:v>
                </c:pt>
                <c:pt idx="130">
                  <c:v>2.3191759999999999E-2</c:v>
                </c:pt>
                <c:pt idx="131">
                  <c:v>3.2239879999999999E-2</c:v>
                </c:pt>
                <c:pt idx="132">
                  <c:v>3.2196120000000002E-2</c:v>
                </c:pt>
                <c:pt idx="133">
                  <c:v>3.2161210000000003E-2</c:v>
                </c:pt>
                <c:pt idx="134">
                  <c:v>3.2135200000000003E-2</c:v>
                </c:pt>
                <c:pt idx="135">
                  <c:v>3.2118149999999998E-2</c:v>
                </c:pt>
                <c:pt idx="136">
                  <c:v>2.3003949999999999E-2</c:v>
                </c:pt>
                <c:pt idx="137">
                  <c:v>2.3005020000000001E-2</c:v>
                </c:pt>
                <c:pt idx="138">
                  <c:v>3.2121329999999997E-2</c:v>
                </c:pt>
                <c:pt idx="139">
                  <c:v>3.2140670000000003E-2</c:v>
                </c:pt>
                <c:pt idx="140">
                  <c:v>3.2169209999999997E-2</c:v>
                </c:pt>
                <c:pt idx="141">
                  <c:v>3.2206989999999998E-2</c:v>
                </c:pt>
                <c:pt idx="142">
                  <c:v>3.2254049999999999E-2</c:v>
                </c:pt>
                <c:pt idx="143">
                  <c:v>2.321032E-2</c:v>
                </c:pt>
                <c:pt idx="144">
                  <c:v>2.3278E-2</c:v>
                </c:pt>
                <c:pt idx="145">
                  <c:v>3.2451140000000003E-2</c:v>
                </c:pt>
                <c:pt idx="146">
                  <c:v>3.2535540000000002E-2</c:v>
                </c:pt>
                <c:pt idx="147">
                  <c:v>3.2629289999999998E-2</c:v>
                </c:pt>
                <c:pt idx="148">
                  <c:v>3.2732419999999998E-2</c:v>
                </c:pt>
                <c:pt idx="149">
                  <c:v>3.284492E-2</c:v>
                </c:pt>
                <c:pt idx="150">
                  <c:v>2.3886589999999999E-2</c:v>
                </c:pt>
                <c:pt idx="151">
                  <c:v>2.4021770000000001E-2</c:v>
                </c:pt>
                <c:pt idx="152">
                  <c:v>3.3238509999999999E-2</c:v>
                </c:pt>
                <c:pt idx="153">
                  <c:v>3.3388349999999997E-2</c:v>
                </c:pt>
                <c:pt idx="154">
                  <c:v>3.3547470000000003E-2</c:v>
                </c:pt>
                <c:pt idx="155">
                  <c:v>3.3715839999999997E-2</c:v>
                </c:pt>
                <c:pt idx="156">
                  <c:v>3.389342E-2</c:v>
                </c:pt>
                <c:pt idx="157">
                  <c:v>2.503375E-2</c:v>
                </c:pt>
                <c:pt idx="158">
                  <c:v>2.5235540000000001E-2</c:v>
                </c:pt>
                <c:pt idx="159">
                  <c:v>3.4480919999999998E-2</c:v>
                </c:pt>
                <c:pt idx="160">
                  <c:v>3.4694830000000003E-2</c:v>
                </c:pt>
                <c:pt idx="161">
                  <c:v>3.4917669999999998E-2</c:v>
                </c:pt>
                <c:pt idx="162">
                  <c:v>3.5149359999999998E-2</c:v>
                </c:pt>
                <c:pt idx="163">
                  <c:v>3.5389839999999999E-2</c:v>
                </c:pt>
                <c:pt idx="164">
                  <c:v>2.6639909999999999E-2</c:v>
                </c:pt>
                <c:pt idx="165">
                  <c:v>2.6905519999999999E-2</c:v>
                </c:pt>
                <c:pt idx="166">
                  <c:v>3.6163130000000002E-2</c:v>
                </c:pt>
                <c:pt idx="167">
                  <c:v>3.6437869999999997E-2</c:v>
                </c:pt>
                <c:pt idx="168">
                  <c:v>3.6720929999999999E-2</c:v>
                </c:pt>
                <c:pt idx="169">
                  <c:v>3.701219E-2</c:v>
                </c:pt>
                <c:pt idx="170">
                  <c:v>3.7311560000000001E-2</c:v>
                </c:pt>
                <c:pt idx="171">
                  <c:v>2.867987E-2</c:v>
                </c:pt>
                <c:pt idx="172">
                  <c:v>2.9004640000000002E-2</c:v>
                </c:pt>
                <c:pt idx="173">
                  <c:v>3.8257069999999997E-2</c:v>
                </c:pt>
                <c:pt idx="174">
                  <c:v>3.8587620000000003E-2</c:v>
                </c:pt>
                <c:pt idx="175">
                  <c:v>3.8925639999999997E-2</c:v>
                </c:pt>
                <c:pt idx="176">
                  <c:v>3.9270979999999997E-2</c:v>
                </c:pt>
                <c:pt idx="177">
                  <c:v>3.9623520000000002E-2</c:v>
                </c:pt>
                <c:pt idx="178">
                  <c:v>3.1115759999999999E-2</c:v>
                </c:pt>
                <c:pt idx="179">
                  <c:v>3.1493340000000002E-2</c:v>
                </c:pt>
                <c:pt idx="180">
                  <c:v>4.0722729999999999E-2</c:v>
                </c:pt>
                <c:pt idx="181">
                  <c:v>4.11025E-2</c:v>
                </c:pt>
                <c:pt idx="182">
                  <c:v>5.3966020000000003E-2</c:v>
                </c:pt>
                <c:pt idx="183">
                  <c:v>8.7082679999999996E-2</c:v>
                </c:pt>
                <c:pt idx="184">
                  <c:v>0.12020541999999999</c:v>
                </c:pt>
                <c:pt idx="185">
                  <c:v>7.4383729999999995E-2</c:v>
                </c:pt>
                <c:pt idx="186">
                  <c:v>0.10481904</c:v>
                </c:pt>
                <c:pt idx="187">
                  <c:v>0.21727099</c:v>
                </c:pt>
                <c:pt idx="188">
                  <c:v>0.24807889999999999</c:v>
                </c:pt>
                <c:pt idx="189">
                  <c:v>0.28122945999999999</c:v>
                </c:pt>
                <c:pt idx="190">
                  <c:v>0.31438505999999999</c:v>
                </c:pt>
                <c:pt idx="191">
                  <c:v>0.34988293999999998</c:v>
                </c:pt>
                <c:pt idx="192">
                  <c:v>0.28754492999999998</c:v>
                </c:pt>
                <c:pt idx="193">
                  <c:v>0.32016027000000002</c:v>
                </c:pt>
                <c:pt idx="194">
                  <c:v>0.45172897000000001</c:v>
                </c:pt>
                <c:pt idx="195">
                  <c:v>0.48490696999999999</c:v>
                </c:pt>
                <c:pt idx="196">
                  <c:v>0.52276376999999996</c:v>
                </c:pt>
                <c:pt idx="197">
                  <c:v>0.55828686000000005</c:v>
                </c:pt>
                <c:pt idx="198">
                  <c:v>0.59147605999999997</c:v>
                </c:pt>
                <c:pt idx="199">
                  <c:v>0.51379472999999998</c:v>
                </c:pt>
                <c:pt idx="200">
                  <c:v>0.54643699999999995</c:v>
                </c:pt>
                <c:pt idx="201">
                  <c:v>0.70041282000000005</c:v>
                </c:pt>
                <c:pt idx="202">
                  <c:v>0.73595177000000001</c:v>
                </c:pt>
                <c:pt idx="203">
                  <c:v>0.77383078000000005</c:v>
                </c:pt>
                <c:pt idx="204">
                  <c:v>0.80703731000000001</c:v>
                </c:pt>
                <c:pt idx="205">
                  <c:v>0.84492096999999999</c:v>
                </c:pt>
                <c:pt idx="206">
                  <c:v>0.74449217999999995</c:v>
                </c:pt>
                <c:pt idx="207">
                  <c:v>0.77715193999999999</c:v>
                </c:pt>
                <c:pt idx="208">
                  <c:v>0.95390867999999995</c:v>
                </c:pt>
                <c:pt idx="209">
                  <c:v>0.99179947000000002</c:v>
                </c:pt>
                <c:pt idx="210">
                  <c:v>1.0273541500000001</c:v>
                </c:pt>
                <c:pt idx="211">
                  <c:v>1.06524744</c:v>
                </c:pt>
                <c:pt idx="212">
                  <c:v>1.1008042600000001</c:v>
                </c:pt>
                <c:pt idx="213">
                  <c:v>0.97957196000000002</c:v>
                </c:pt>
                <c:pt idx="214">
                  <c:v>1.0122400899999999</c:v>
                </c:pt>
                <c:pt idx="215">
                  <c:v>1.2074788999999999</c:v>
                </c:pt>
                <c:pt idx="216">
                  <c:v>1.2453753999999999</c:v>
                </c:pt>
                <c:pt idx="217">
                  <c:v>1.27859715</c:v>
                </c:pt>
                <c:pt idx="218">
                  <c:v>1.3164937699999999</c:v>
                </c:pt>
                <c:pt idx="219">
                  <c:v>1.3497153200000001</c:v>
                </c:pt>
                <c:pt idx="220">
                  <c:v>1.2082532100000001</c:v>
                </c:pt>
                <c:pt idx="221">
                  <c:v>1.23877748</c:v>
                </c:pt>
                <c:pt idx="222">
                  <c:v>1.45405228</c:v>
                </c:pt>
                <c:pt idx="223">
                  <c:v>1.4872715999999999</c:v>
                </c:pt>
                <c:pt idx="224">
                  <c:v>1.33248955</c:v>
                </c:pt>
                <c:pt idx="225">
                  <c:v>1.55136988</c:v>
                </c:pt>
                <c:pt idx="226">
                  <c:v>1.5869234400000001</c:v>
                </c:pt>
                <c:pt idx="227">
                  <c:v>1.4240479500000001</c:v>
                </c:pt>
                <c:pt idx="228">
                  <c:v>1.4502770300000001</c:v>
                </c:pt>
                <c:pt idx="229">
                  <c:v>1.6818883200000001</c:v>
                </c:pt>
                <c:pt idx="230">
                  <c:v>1.7104233799999999</c:v>
                </c:pt>
                <c:pt idx="231">
                  <c:v>1.7412940299999999</c:v>
                </c:pt>
                <c:pt idx="232">
                  <c:v>1.7721627</c:v>
                </c:pt>
                <c:pt idx="233">
                  <c:v>1.8006918199999999</c:v>
                </c:pt>
                <c:pt idx="234">
                  <c:v>1.6161872900000001</c:v>
                </c:pt>
                <c:pt idx="235">
                  <c:v>1.6424021099999999</c:v>
                </c:pt>
                <c:pt idx="236">
                  <c:v>1.8839279799999999</c:v>
                </c:pt>
                <c:pt idx="237">
                  <c:v>1.9101101199999999</c:v>
                </c:pt>
                <c:pt idx="238">
                  <c:v>1.9362896000000001</c:v>
                </c:pt>
                <c:pt idx="239">
                  <c:v>1.9601288800000001</c:v>
                </c:pt>
                <c:pt idx="240">
                  <c:v>1.98630274</c:v>
                </c:pt>
                <c:pt idx="241">
                  <c:v>1.78462806</c:v>
                </c:pt>
                <c:pt idx="242">
                  <c:v>1.8043917300000001</c:v>
                </c:pt>
                <c:pt idx="243">
                  <c:v>2.05779384</c:v>
                </c:pt>
                <c:pt idx="244">
                  <c:v>2.0816178500000002</c:v>
                </c:pt>
                <c:pt idx="245">
                  <c:v>2.1031010800000001</c:v>
                </c:pt>
                <c:pt idx="246">
                  <c:v>2.1245808899999998</c:v>
                </c:pt>
                <c:pt idx="247">
                  <c:v>2.1437197499999998</c:v>
                </c:pt>
                <c:pt idx="248">
                  <c:v>1.92290231</c:v>
                </c:pt>
                <c:pt idx="249">
                  <c:v>1.9426413300000001</c:v>
                </c:pt>
                <c:pt idx="250">
                  <c:v>2.2034519000000001</c:v>
                </c:pt>
                <c:pt idx="251">
                  <c:v>2.22023846</c:v>
                </c:pt>
                <c:pt idx="252">
                  <c:v>2.2370211000000002</c:v>
                </c:pt>
                <c:pt idx="253">
                  <c:v>2.2537997500000002</c:v>
                </c:pt>
                <c:pt idx="254">
                  <c:v>2.2705743300000001</c:v>
                </c:pt>
                <c:pt idx="255">
                  <c:v>2.0374099499999998</c:v>
                </c:pt>
                <c:pt idx="256">
                  <c:v>2.0506888999999999</c:v>
                </c:pt>
                <c:pt idx="257">
                  <c:v>2.3161980299999998</c:v>
                </c:pt>
                <c:pt idx="258">
                  <c:v>2.3306181399999999</c:v>
                </c:pt>
                <c:pt idx="259">
                  <c:v>2.3450338199999998</c:v>
                </c:pt>
                <c:pt idx="260">
                  <c:v>2.3571075399999999</c:v>
                </c:pt>
                <c:pt idx="261">
                  <c:v>2.3691766900000002</c:v>
                </c:pt>
                <c:pt idx="262">
                  <c:v>2.12383582</c:v>
                </c:pt>
                <c:pt idx="263">
                  <c:v>2.1349384900000001</c:v>
                </c:pt>
                <c:pt idx="264">
                  <c:v>2.4053559099999999</c:v>
                </c:pt>
                <c:pt idx="265">
                  <c:v>2.41740602</c:v>
                </c:pt>
                <c:pt idx="266">
                  <c:v>2.4271137399999998</c:v>
                </c:pt>
                <c:pt idx="267">
                  <c:v>2.4368164600000002</c:v>
                </c:pt>
                <c:pt idx="268">
                  <c:v>2.1839449599999998</c:v>
                </c:pt>
                <c:pt idx="269">
                  <c:v>2.1928731199999998</c:v>
                </c:pt>
                <c:pt idx="270">
                  <c:v>2.20179591</c:v>
                </c:pt>
                <c:pt idx="271">
                  <c:v>2.4732383800000002</c:v>
                </c:pt>
                <c:pt idx="272">
                  <c:v>2.4805775400000001</c:v>
                </c:pt>
                <c:pt idx="273">
                  <c:v>2.4879112700000001</c:v>
                </c:pt>
                <c:pt idx="274">
                  <c:v>2.4975769300000001</c:v>
                </c:pt>
                <c:pt idx="275">
                  <c:v>2.23560771</c:v>
                </c:pt>
                <c:pt idx="276">
                  <c:v>2.2423528799999999</c:v>
                </c:pt>
                <c:pt idx="277">
                  <c:v>2.2469483800000001</c:v>
                </c:pt>
                <c:pt idx="278">
                  <c:v>2.52215831</c:v>
                </c:pt>
                <c:pt idx="279">
                  <c:v>2.5271204100000002</c:v>
                </c:pt>
                <c:pt idx="280">
                  <c:v>2.5344139999999999</c:v>
                </c:pt>
                <c:pt idx="281">
                  <c:v>2.5393640999999998</c:v>
                </c:pt>
                <c:pt idx="282">
                  <c:v>2.5443080899999999</c:v>
                </c:pt>
                <c:pt idx="283">
                  <c:v>2.2786804799999998</c:v>
                </c:pt>
                <c:pt idx="284">
                  <c:v>2.28323243</c:v>
                </c:pt>
                <c:pt idx="285">
                  <c:v>2.55676514</c:v>
                </c:pt>
                <c:pt idx="286">
                  <c:v>2.5616838799999999</c:v>
                </c:pt>
                <c:pt idx="287">
                  <c:v>2.56425868</c:v>
                </c:pt>
                <c:pt idx="288">
                  <c:v>2.5668268799999998</c:v>
                </c:pt>
                <c:pt idx="289">
                  <c:v>2.5693884200000001</c:v>
                </c:pt>
                <c:pt idx="290">
                  <c:v>2.2975412899999998</c:v>
                </c:pt>
                <c:pt idx="291">
                  <c:v>2.2999019600000001</c:v>
                </c:pt>
                <c:pt idx="292">
                  <c:v>2.5746947800000002</c:v>
                </c:pt>
                <c:pt idx="293">
                  <c:v>2.5772288400000001</c:v>
                </c:pt>
                <c:pt idx="294">
                  <c:v>2.5797558299999999</c:v>
                </c:pt>
                <c:pt idx="295">
                  <c:v>2.5799382300000002</c:v>
                </c:pt>
                <c:pt idx="296">
                  <c:v>2.5777759499999999</c:v>
                </c:pt>
                <c:pt idx="297">
                  <c:v>2.3053385199999998</c:v>
                </c:pt>
                <c:pt idx="298">
                  <c:v>2.3033600999999999</c:v>
                </c:pt>
                <c:pt idx="299">
                  <c:v>2.57591986</c:v>
                </c:pt>
                <c:pt idx="300">
                  <c:v>2.5737278799999999</c:v>
                </c:pt>
                <c:pt idx="301">
                  <c:v>2.5715282899999998</c:v>
                </c:pt>
                <c:pt idx="302">
                  <c:v>2.569321</c:v>
                </c:pt>
                <c:pt idx="303">
                  <c:v>2.5671059500000002</c:v>
                </c:pt>
                <c:pt idx="304">
                  <c:v>2.2913253199999999</c:v>
                </c:pt>
                <c:pt idx="305">
                  <c:v>2.28714767</c:v>
                </c:pt>
                <c:pt idx="306">
                  <c:v>2.5557385699999999</c:v>
                </c:pt>
                <c:pt idx="307">
                  <c:v>2.5488168400000002</c:v>
                </c:pt>
                <c:pt idx="308">
                  <c:v>2.541887</c:v>
                </c:pt>
                <c:pt idx="309">
                  <c:v>2.53728642</c:v>
                </c:pt>
                <c:pt idx="310">
                  <c:v>2.5303401600000002</c:v>
                </c:pt>
                <c:pt idx="311">
                  <c:v>2.2554753600000002</c:v>
                </c:pt>
                <c:pt idx="312">
                  <c:v>2.2490949699999998</c:v>
                </c:pt>
                <c:pt idx="313">
                  <c:v>2.50711387</c:v>
                </c:pt>
                <c:pt idx="314">
                  <c:v>2.49779661</c:v>
                </c:pt>
                <c:pt idx="315">
                  <c:v>2.4884708299999998</c:v>
                </c:pt>
                <c:pt idx="316">
                  <c:v>2.47679904</c:v>
                </c:pt>
                <c:pt idx="317">
                  <c:v>2.46511864</c:v>
                </c:pt>
                <c:pt idx="318">
                  <c:v>2.19347862</c:v>
                </c:pt>
                <c:pt idx="319">
                  <c:v>2.17846144</c:v>
                </c:pt>
                <c:pt idx="320">
                  <c:v>2.4276879500000001</c:v>
                </c:pt>
                <c:pt idx="321">
                  <c:v>2.41597273</c:v>
                </c:pt>
                <c:pt idx="322">
                  <c:v>2.3972364000000002</c:v>
                </c:pt>
                <c:pt idx="323">
                  <c:v>2.38316616</c:v>
                </c:pt>
                <c:pt idx="324">
                  <c:v>2.3690870899999998</c:v>
                </c:pt>
                <c:pt idx="325">
                  <c:v>2.0967436699999999</c:v>
                </c:pt>
                <c:pt idx="326">
                  <c:v>2.08166304</c:v>
                </c:pt>
                <c:pt idx="327">
                  <c:v>2.3151095800000001</c:v>
                </c:pt>
                <c:pt idx="328">
                  <c:v>2.2963202100000002</c:v>
                </c:pt>
                <c:pt idx="329">
                  <c:v>2.2775219799999999</c:v>
                </c:pt>
                <c:pt idx="330">
                  <c:v>2.25637745</c:v>
                </c:pt>
                <c:pt idx="331">
                  <c:v>2.2375615299999998</c:v>
                </c:pt>
                <c:pt idx="332">
                  <c:v>1.9738375399999999</c:v>
                </c:pt>
                <c:pt idx="333">
                  <c:v>1.9544055899999999</c:v>
                </c:pt>
                <c:pt idx="334">
                  <c:v>2.1717110700000002</c:v>
                </c:pt>
                <c:pt idx="335">
                  <c:v>2.1505225100000001</c:v>
                </c:pt>
                <c:pt idx="336">
                  <c:v>2.1269877799999999</c:v>
                </c:pt>
                <c:pt idx="337">
                  <c:v>2.1011069099999999</c:v>
                </c:pt>
                <c:pt idx="338">
                  <c:v>2.0775548499999998</c:v>
                </c:pt>
                <c:pt idx="339">
                  <c:v>1.82261856</c:v>
                </c:pt>
                <c:pt idx="340">
                  <c:v>1.8009802500000001</c:v>
                </c:pt>
                <c:pt idx="341">
                  <c:v>2.0021723900000001</c:v>
                </c:pt>
                <c:pt idx="342">
                  <c:v>1.9739113699999999</c:v>
                </c:pt>
                <c:pt idx="343">
                  <c:v>1.94797943</c:v>
                </c:pt>
                <c:pt idx="344">
                  <c:v>1.9197017599999999</c:v>
                </c:pt>
                <c:pt idx="345">
                  <c:v>1.8937533200000001</c:v>
                </c:pt>
                <c:pt idx="346">
                  <c:v>1.64953141</c:v>
                </c:pt>
                <c:pt idx="347">
                  <c:v>1.6256895899999999</c:v>
                </c:pt>
                <c:pt idx="348">
                  <c:v>1.8065097299999999</c:v>
                </c:pt>
                <c:pt idx="349">
                  <c:v>1.77819182</c:v>
                </c:pt>
                <c:pt idx="350">
                  <c:v>1.7522035899999999</c:v>
                </c:pt>
                <c:pt idx="351">
                  <c:v>1.7215328000000001</c:v>
                </c:pt>
                <c:pt idx="352">
                  <c:v>1.69319189</c:v>
                </c:pt>
                <c:pt idx="353">
                  <c:v>1.4653198300000001</c:v>
                </c:pt>
                <c:pt idx="354">
                  <c:v>1.4371352399999999</c:v>
                </c:pt>
                <c:pt idx="355">
                  <c:v>1.60345001</c:v>
                </c:pt>
                <c:pt idx="356">
                  <c:v>1.5727425500000001</c:v>
                </c:pt>
                <c:pt idx="357">
                  <c:v>1.5420281199999999</c:v>
                </c:pt>
                <c:pt idx="358">
                  <c:v>1.51130685</c:v>
                </c:pt>
                <c:pt idx="359">
                  <c:v>1.48291631</c:v>
                </c:pt>
                <c:pt idx="360">
                  <c:v>1.27216353</c:v>
                </c:pt>
                <c:pt idx="361">
                  <c:v>1.2460734099999999</c:v>
                </c:pt>
                <c:pt idx="362">
                  <c:v>1.39303092</c:v>
                </c:pt>
                <c:pt idx="363">
                  <c:v>1.3646149400000001</c:v>
                </c:pt>
              </c:numCache>
            </c:numRef>
          </c:val>
          <c:smooth val="0"/>
          <c:extLst>
            <c:ext xmlns:c16="http://schemas.microsoft.com/office/drawing/2014/chart" uri="{C3380CC4-5D6E-409C-BE32-E72D297353CC}">
              <c16:uniqueId val="{00000000-929D-4A0D-9C8D-8BA506BFF8DC}"/>
            </c:ext>
          </c:extLst>
        </c:ser>
        <c:dLbls>
          <c:showLegendKey val="0"/>
          <c:showVal val="0"/>
          <c:showCatName val="0"/>
          <c:showSerName val="0"/>
          <c:showPercent val="0"/>
          <c:showBubbleSize val="0"/>
        </c:dLbls>
        <c:smooth val="0"/>
        <c:axId val="570478975"/>
        <c:axId val="1"/>
      </c:lineChart>
      <c:dateAx>
        <c:axId val="570478975"/>
        <c:scaling>
          <c:orientation val="minMax"/>
        </c:scaling>
        <c:delete val="0"/>
        <c:axPos val="b"/>
        <c:numFmt formatCode="m/d/yyyy" sourceLinked="0"/>
        <c:majorTickMark val="out"/>
        <c:minorTickMark val="none"/>
        <c:tickLblPos val="nextTo"/>
        <c:txPr>
          <a:bodyPr rot="-5400000" vert="horz"/>
          <a:lstStyle/>
          <a:p>
            <a:pPr>
              <a:defRPr/>
            </a:pPr>
            <a:endParaRPr lang="fr-FR"/>
          </a:p>
        </c:txPr>
        <c:crossAx val="1"/>
        <c:crosses val="autoZero"/>
        <c:auto val="1"/>
        <c:lblOffset val="100"/>
        <c:baseTimeUnit val="days"/>
      </c:dateAx>
      <c:valAx>
        <c:axId val="1"/>
        <c:scaling>
          <c:orientation val="minMax"/>
        </c:scaling>
        <c:delete val="0"/>
        <c:axPos val="l"/>
        <c:majorGridlines/>
        <c:numFmt formatCode="0.0" sourceLinked="0"/>
        <c:majorTickMark val="out"/>
        <c:minorTickMark val="none"/>
        <c:tickLblPos val="nextTo"/>
        <c:crossAx val="570478975"/>
        <c:crosses val="autoZero"/>
        <c:crossBetween val="between"/>
      </c:valAx>
    </c:plotArea>
    <c:plotVisOnly val="1"/>
    <c:dispBlanksAs val="gap"/>
    <c:showDLblsOverMax val="0"/>
  </c:chart>
  <c:printSettings>
    <c:headerFooter/>
    <c:pageMargins b="0.75000000000000455" l="0.70000000000000062" r="0.70000000000000062" t="0.75000000000000455" header="0.30000000000000032" footer="0.30000000000000032"/>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12</xdr:col>
      <xdr:colOff>95250</xdr:colOff>
      <xdr:row>1</xdr:row>
      <xdr:rowOff>44450</xdr:rowOff>
    </xdr:from>
    <xdr:to>
      <xdr:col>18</xdr:col>
      <xdr:colOff>31750</xdr:colOff>
      <xdr:row>18</xdr:row>
      <xdr:rowOff>44450</xdr:rowOff>
    </xdr:to>
    <xdr:graphicFrame macro="">
      <xdr:nvGraphicFramePr>
        <xdr:cNvPr id="1106" name="Graphique 2">
          <a:extLst>
            <a:ext uri="{FF2B5EF4-FFF2-40B4-BE49-F238E27FC236}">
              <a16:creationId xmlns:a16="http://schemas.microsoft.com/office/drawing/2014/main" id="{216DAECB-8C3C-4781-A5D7-98E982172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101600</xdr:colOff>
      <xdr:row>20</xdr:row>
      <xdr:rowOff>6350</xdr:rowOff>
    </xdr:from>
    <xdr:to>
      <xdr:col>18</xdr:col>
      <xdr:colOff>19050</xdr:colOff>
      <xdr:row>37</xdr:row>
      <xdr:rowOff>6350</xdr:rowOff>
    </xdr:to>
    <xdr:graphicFrame macro="">
      <xdr:nvGraphicFramePr>
        <xdr:cNvPr id="1107" name="Graphique 3">
          <a:extLst>
            <a:ext uri="{FF2B5EF4-FFF2-40B4-BE49-F238E27FC236}">
              <a16:creationId xmlns:a16="http://schemas.microsoft.com/office/drawing/2014/main" id="{BA928A02-1609-4A11-A970-5B741B465F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107950</xdr:colOff>
      <xdr:row>37</xdr:row>
      <xdr:rowOff>44450</xdr:rowOff>
    </xdr:from>
    <xdr:to>
      <xdr:col>18</xdr:col>
      <xdr:colOff>6350</xdr:colOff>
      <xdr:row>54</xdr:row>
      <xdr:rowOff>44450</xdr:rowOff>
    </xdr:to>
    <xdr:graphicFrame macro="">
      <xdr:nvGraphicFramePr>
        <xdr:cNvPr id="1108" name="Graphique 4">
          <a:extLst>
            <a:ext uri="{FF2B5EF4-FFF2-40B4-BE49-F238E27FC236}">
              <a16:creationId xmlns:a16="http://schemas.microsoft.com/office/drawing/2014/main" id="{444E4609-3901-45EC-82B5-C80203364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120650</xdr:colOff>
      <xdr:row>55</xdr:row>
      <xdr:rowOff>44450</xdr:rowOff>
    </xdr:from>
    <xdr:to>
      <xdr:col>18</xdr:col>
      <xdr:colOff>6350</xdr:colOff>
      <xdr:row>72</xdr:row>
      <xdr:rowOff>38100</xdr:rowOff>
    </xdr:to>
    <xdr:graphicFrame macro="">
      <xdr:nvGraphicFramePr>
        <xdr:cNvPr id="1109" name="Graphique 5">
          <a:extLst>
            <a:ext uri="{FF2B5EF4-FFF2-40B4-BE49-F238E27FC236}">
              <a16:creationId xmlns:a16="http://schemas.microsoft.com/office/drawing/2014/main" id="{5F747D83-315B-4578-8DC7-D55CCBCBC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133350</xdr:colOff>
      <xdr:row>74</xdr:row>
      <xdr:rowOff>0</xdr:rowOff>
    </xdr:from>
    <xdr:to>
      <xdr:col>18</xdr:col>
      <xdr:colOff>25400</xdr:colOff>
      <xdr:row>90</xdr:row>
      <xdr:rowOff>44450</xdr:rowOff>
    </xdr:to>
    <xdr:graphicFrame macro="">
      <xdr:nvGraphicFramePr>
        <xdr:cNvPr id="1110" name="Graphique 6">
          <a:extLst>
            <a:ext uri="{FF2B5EF4-FFF2-40B4-BE49-F238E27FC236}">
              <a16:creationId xmlns:a16="http://schemas.microsoft.com/office/drawing/2014/main" id="{A144ABC4-38A6-4C57-9C3E-CD1A0BAD0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127000</xdr:colOff>
      <xdr:row>92</xdr:row>
      <xdr:rowOff>6350</xdr:rowOff>
    </xdr:from>
    <xdr:to>
      <xdr:col>18</xdr:col>
      <xdr:colOff>19050</xdr:colOff>
      <xdr:row>109</xdr:row>
      <xdr:rowOff>0</xdr:rowOff>
    </xdr:to>
    <xdr:graphicFrame macro="">
      <xdr:nvGraphicFramePr>
        <xdr:cNvPr id="1111" name="Graphique 7">
          <a:extLst>
            <a:ext uri="{FF2B5EF4-FFF2-40B4-BE49-F238E27FC236}">
              <a16:creationId xmlns:a16="http://schemas.microsoft.com/office/drawing/2014/main" id="{343E32D4-6D12-4BE7-95C1-7F62511D7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127000</xdr:colOff>
      <xdr:row>110</xdr:row>
      <xdr:rowOff>12700</xdr:rowOff>
    </xdr:from>
    <xdr:to>
      <xdr:col>18</xdr:col>
      <xdr:colOff>12700</xdr:colOff>
      <xdr:row>127</xdr:row>
      <xdr:rowOff>12700</xdr:rowOff>
    </xdr:to>
    <xdr:graphicFrame macro="">
      <xdr:nvGraphicFramePr>
        <xdr:cNvPr id="1112" name="Graphique 8">
          <a:extLst>
            <a:ext uri="{FF2B5EF4-FFF2-40B4-BE49-F238E27FC236}">
              <a16:creationId xmlns:a16="http://schemas.microsoft.com/office/drawing/2014/main" id="{48767584-AF1D-494C-9396-C67F44FDA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133350</xdr:colOff>
      <xdr:row>128</xdr:row>
      <xdr:rowOff>44450</xdr:rowOff>
    </xdr:from>
    <xdr:to>
      <xdr:col>18</xdr:col>
      <xdr:colOff>25400</xdr:colOff>
      <xdr:row>145</xdr:row>
      <xdr:rowOff>44450</xdr:rowOff>
    </xdr:to>
    <xdr:graphicFrame macro="">
      <xdr:nvGraphicFramePr>
        <xdr:cNvPr id="1113" name="Graphique 9">
          <a:extLst>
            <a:ext uri="{FF2B5EF4-FFF2-40B4-BE49-F238E27FC236}">
              <a16:creationId xmlns:a16="http://schemas.microsoft.com/office/drawing/2014/main" id="{D3A1CC52-B31E-468D-A174-6531B32F8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146050</xdr:colOff>
      <xdr:row>147</xdr:row>
      <xdr:rowOff>38100</xdr:rowOff>
    </xdr:from>
    <xdr:to>
      <xdr:col>18</xdr:col>
      <xdr:colOff>31750</xdr:colOff>
      <xdr:row>164</xdr:row>
      <xdr:rowOff>31750</xdr:rowOff>
    </xdr:to>
    <xdr:graphicFrame macro="">
      <xdr:nvGraphicFramePr>
        <xdr:cNvPr id="1114" name="Graphique 10">
          <a:extLst>
            <a:ext uri="{FF2B5EF4-FFF2-40B4-BE49-F238E27FC236}">
              <a16:creationId xmlns:a16="http://schemas.microsoft.com/office/drawing/2014/main" id="{0AD56C31-BB2B-416B-A315-9DC6E0133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Q96"/>
  <sheetViews>
    <sheetView showGridLines="0" topLeftCell="A44" zoomScaleNormal="100" workbookViewId="0">
      <selection activeCell="L42" sqref="L42"/>
    </sheetView>
  </sheetViews>
  <sheetFormatPr baseColWidth="10" defaultColWidth="11.453125" defaultRowHeight="12.5" x14ac:dyDescent="0.25"/>
  <cols>
    <col min="1" max="1" width="21.1796875" style="6" customWidth="1"/>
    <col min="2" max="2" width="12.453125" style="6" customWidth="1"/>
    <col min="3" max="3" width="11.54296875" style="6" customWidth="1"/>
    <col min="4" max="4" width="10.81640625" style="6" bestFit="1" customWidth="1"/>
    <col min="5" max="5" width="5.54296875" style="6" bestFit="1" customWidth="1"/>
    <col min="6" max="6" width="6.1796875" style="6" bestFit="1" customWidth="1"/>
    <col min="7" max="7" width="3.54296875" style="6" customWidth="1"/>
    <col min="8" max="8" width="11.54296875" style="6" bestFit="1" customWidth="1"/>
    <col min="9" max="19" width="11.453125" style="6" customWidth="1"/>
    <col min="20" max="16384" width="11.453125" style="6"/>
  </cols>
  <sheetData>
    <row r="1" spans="1:17" ht="15.5" x14ac:dyDescent="0.25">
      <c r="A1" s="125" t="s">
        <v>0</v>
      </c>
      <c r="B1" s="126"/>
      <c r="C1" s="126"/>
      <c r="D1" s="126"/>
      <c r="E1" s="126"/>
      <c r="F1" s="126"/>
      <c r="G1" s="126"/>
      <c r="H1" s="127"/>
      <c r="I1" s="4"/>
      <c r="J1" s="4"/>
      <c r="K1" s="4"/>
      <c r="L1" s="4"/>
      <c r="M1" s="5"/>
      <c r="N1" s="5"/>
      <c r="O1" s="5"/>
      <c r="P1" s="5"/>
      <c r="Q1" s="5"/>
    </row>
    <row r="3" spans="1:17" x14ac:dyDescent="0.25">
      <c r="A3" s="6" t="s">
        <v>1</v>
      </c>
    </row>
    <row r="4" spans="1:17" x14ac:dyDescent="0.25">
      <c r="A4" s="6" t="s">
        <v>2</v>
      </c>
    </row>
    <row r="5" spans="1:17" x14ac:dyDescent="0.25">
      <c r="A5" s="6" t="s">
        <v>3</v>
      </c>
    </row>
    <row r="6" spans="1:17" x14ac:dyDescent="0.25">
      <c r="A6" s="6" t="s">
        <v>4</v>
      </c>
    </row>
    <row r="8" spans="1:17" x14ac:dyDescent="0.25">
      <c r="A8" s="6" t="s">
        <v>5</v>
      </c>
    </row>
    <row r="9" spans="1:17" x14ac:dyDescent="0.25">
      <c r="A9" s="6" t="s">
        <v>6</v>
      </c>
    </row>
    <row r="10" spans="1:17" x14ac:dyDescent="0.25">
      <c r="A10" s="6" t="s">
        <v>7</v>
      </c>
    </row>
    <row r="11" spans="1:17" x14ac:dyDescent="0.25">
      <c r="A11" s="6" t="s">
        <v>8</v>
      </c>
    </row>
    <row r="13" spans="1:17" ht="13" x14ac:dyDescent="0.3">
      <c r="A13" s="6" t="s">
        <v>9</v>
      </c>
    </row>
    <row r="14" spans="1:17" x14ac:dyDescent="0.25">
      <c r="A14" s="6" t="s">
        <v>10</v>
      </c>
    </row>
    <row r="15" spans="1:17" x14ac:dyDescent="0.25">
      <c r="A15" s="6" t="s">
        <v>11</v>
      </c>
    </row>
    <row r="17" spans="1:1" s="9" customFormat="1" ht="14" x14ac:dyDescent="0.3">
      <c r="A17" s="8" t="s">
        <v>12</v>
      </c>
    </row>
    <row r="18" spans="1:1" s="9" customFormat="1" ht="14" x14ac:dyDescent="0.3">
      <c r="A18" s="8"/>
    </row>
    <row r="19" spans="1:1" s="9" customFormat="1" ht="16.5" x14ac:dyDescent="0.3">
      <c r="A19" s="10" t="s">
        <v>13</v>
      </c>
    </row>
    <row r="20" spans="1:1" s="9" customFormat="1" ht="14" x14ac:dyDescent="0.3">
      <c r="A20" s="10"/>
    </row>
    <row r="21" spans="1:1" x14ac:dyDescent="0.25">
      <c r="A21" s="6" t="s">
        <v>14</v>
      </c>
    </row>
    <row r="22" spans="1:1" ht="13" x14ac:dyDescent="0.3">
      <c r="A22" s="6" t="s">
        <v>182</v>
      </c>
    </row>
    <row r="23" spans="1:1" x14ac:dyDescent="0.25">
      <c r="A23" s="6" t="s">
        <v>15</v>
      </c>
    </row>
    <row r="24" spans="1:1" x14ac:dyDescent="0.25">
      <c r="A24" s="6" t="s">
        <v>16</v>
      </c>
    </row>
    <row r="25" spans="1:1" x14ac:dyDescent="0.25">
      <c r="A25" s="6" t="s">
        <v>17</v>
      </c>
    </row>
    <row r="26" spans="1:1" x14ac:dyDescent="0.25">
      <c r="A26" s="6" t="s">
        <v>18</v>
      </c>
    </row>
    <row r="28" spans="1:1" s="9" customFormat="1" ht="16.5" x14ac:dyDescent="0.3">
      <c r="A28" s="10" t="s">
        <v>19</v>
      </c>
    </row>
    <row r="29" spans="1:1" ht="13" x14ac:dyDescent="0.3">
      <c r="A29" s="11"/>
    </row>
    <row r="30" spans="1:1" ht="13" x14ac:dyDescent="0.3">
      <c r="A30" s="6" t="s">
        <v>20</v>
      </c>
    </row>
    <row r="31" spans="1:1" x14ac:dyDescent="0.25">
      <c r="A31" s="6" t="s">
        <v>175</v>
      </c>
    </row>
    <row r="32" spans="1:1" x14ac:dyDescent="0.25">
      <c r="A32" s="6" t="s">
        <v>21</v>
      </c>
    </row>
    <row r="33" spans="1:2" x14ac:dyDescent="0.25">
      <c r="A33" s="12" t="s">
        <v>22</v>
      </c>
      <c r="B33" s="6" t="s">
        <v>23</v>
      </c>
    </row>
    <row r="34" spans="1:2" x14ac:dyDescent="0.25">
      <c r="B34" s="6" t="s">
        <v>24</v>
      </c>
    </row>
    <row r="35" spans="1:2" ht="15.5" x14ac:dyDescent="0.4">
      <c r="A35" s="6" t="s">
        <v>25</v>
      </c>
    </row>
    <row r="36" spans="1:2" x14ac:dyDescent="0.25">
      <c r="A36" s="6" t="s">
        <v>26</v>
      </c>
    </row>
    <row r="38" spans="1:2" x14ac:dyDescent="0.25">
      <c r="A38" s="6" t="s">
        <v>27</v>
      </c>
    </row>
    <row r="39" spans="1:2" x14ac:dyDescent="0.25">
      <c r="A39" s="6" t="s">
        <v>28</v>
      </c>
    </row>
    <row r="40" spans="1:2" x14ac:dyDescent="0.25">
      <c r="A40" s="6" t="s">
        <v>172</v>
      </c>
    </row>
    <row r="41" spans="1:2" s="13" customFormat="1" x14ac:dyDescent="0.25">
      <c r="A41" s="27" t="s">
        <v>29</v>
      </c>
    </row>
    <row r="42" spans="1:2" ht="13" x14ac:dyDescent="0.3">
      <c r="A42" s="11"/>
    </row>
    <row r="43" spans="1:2" x14ac:dyDescent="0.25">
      <c r="A43" s="6" t="s">
        <v>30</v>
      </c>
    </row>
    <row r="44" spans="1:2" x14ac:dyDescent="0.25">
      <c r="A44" s="6" t="s">
        <v>31</v>
      </c>
    </row>
    <row r="46" spans="1:2" x14ac:dyDescent="0.25">
      <c r="A46" s="6" t="s">
        <v>32</v>
      </c>
    </row>
    <row r="47" spans="1:2" x14ac:dyDescent="0.25">
      <c r="A47" s="6" t="s">
        <v>33</v>
      </c>
    </row>
    <row r="48" spans="1:2" ht="13" x14ac:dyDescent="0.3">
      <c r="A48" s="6" t="s">
        <v>34</v>
      </c>
    </row>
    <row r="49" spans="1:11" x14ac:dyDescent="0.25">
      <c r="C49" s="25"/>
    </row>
    <row r="50" spans="1:11" s="14" customFormat="1" ht="15" x14ac:dyDescent="0.4">
      <c r="B50" s="15" t="s">
        <v>176</v>
      </c>
      <c r="C50" s="16"/>
      <c r="D50" s="16"/>
      <c r="E50" s="16"/>
      <c r="F50" s="16"/>
      <c r="G50" s="17"/>
    </row>
    <row r="51" spans="1:11" s="14" customFormat="1" ht="13" x14ac:dyDescent="0.3">
      <c r="B51" s="18"/>
    </row>
    <row r="52" spans="1:11" ht="13" x14ac:dyDescent="0.3">
      <c r="B52" s="19" t="s">
        <v>177</v>
      </c>
      <c r="K52" s="20"/>
    </row>
    <row r="54" spans="1:11" ht="16.5" x14ac:dyDescent="0.3">
      <c r="A54" s="10" t="s">
        <v>35</v>
      </c>
    </row>
    <row r="55" spans="1:11" ht="13" x14ac:dyDescent="0.3">
      <c r="B55" s="19"/>
      <c r="K55" s="20"/>
    </row>
    <row r="56" spans="1:11" ht="13" x14ac:dyDescent="0.3">
      <c r="A56" s="6" t="s">
        <v>36</v>
      </c>
      <c r="B56" s="19"/>
      <c r="K56" s="20"/>
    </row>
    <row r="57" spans="1:11" ht="13" x14ac:dyDescent="0.3">
      <c r="B57" s="19"/>
      <c r="K57" s="20"/>
    </row>
    <row r="58" spans="1:11" ht="13" x14ac:dyDescent="0.3">
      <c r="B58" s="15" t="s">
        <v>178</v>
      </c>
      <c r="C58" s="16"/>
      <c r="D58" s="17"/>
      <c r="E58" s="14"/>
      <c r="K58" s="20"/>
    </row>
    <row r="59" spans="1:11" ht="13" x14ac:dyDescent="0.3">
      <c r="B59" s="18"/>
      <c r="C59" s="14"/>
      <c r="D59" s="14"/>
      <c r="E59" s="14"/>
      <c r="K59" s="20"/>
    </row>
    <row r="60" spans="1:11" ht="13" x14ac:dyDescent="0.3">
      <c r="A60" s="7" t="s">
        <v>37</v>
      </c>
      <c r="B60" s="18"/>
      <c r="C60" s="14"/>
      <c r="D60" s="14"/>
      <c r="E60" s="14"/>
      <c r="K60" s="20"/>
    </row>
    <row r="61" spans="1:11" ht="13" x14ac:dyDescent="0.3">
      <c r="A61" s="7"/>
      <c r="B61" s="18"/>
      <c r="C61" s="14"/>
      <c r="D61" s="14"/>
      <c r="E61" s="14"/>
      <c r="K61" s="20"/>
    </row>
    <row r="62" spans="1:11" ht="13" x14ac:dyDescent="0.3">
      <c r="A62" s="7"/>
      <c r="B62" s="18"/>
      <c r="C62" s="14"/>
      <c r="D62" s="14"/>
      <c r="E62" s="14"/>
      <c r="K62" s="20"/>
    </row>
    <row r="63" spans="1:11" ht="13" x14ac:dyDescent="0.3">
      <c r="A63" s="7"/>
      <c r="B63" s="18"/>
      <c r="C63" s="14"/>
      <c r="D63" s="14"/>
      <c r="E63" s="14"/>
      <c r="K63" s="20"/>
    </row>
    <row r="64" spans="1:11" ht="13" x14ac:dyDescent="0.3">
      <c r="A64" s="21"/>
      <c r="B64" s="19"/>
      <c r="K64" s="20"/>
    </row>
    <row r="65" spans="1:10" s="19" customFormat="1" ht="13" x14ac:dyDescent="0.3">
      <c r="A65" s="83" t="s">
        <v>173</v>
      </c>
      <c r="B65" s="84" t="s">
        <v>38</v>
      </c>
      <c r="C65" s="84"/>
      <c r="D65" s="84"/>
      <c r="E65" s="84"/>
      <c r="F65" s="84"/>
      <c r="G65" s="84"/>
      <c r="H65" s="84"/>
      <c r="I65" s="85"/>
    </row>
    <row r="66" spans="1:10" s="19" customFormat="1" ht="13" x14ac:dyDescent="0.3">
      <c r="A66" s="86"/>
      <c r="B66" s="87" t="s">
        <v>39</v>
      </c>
      <c r="C66" s="88"/>
      <c r="D66" s="88"/>
      <c r="E66" s="88"/>
      <c r="F66" s="88"/>
      <c r="G66" s="88"/>
      <c r="H66" s="88"/>
      <c r="I66" s="89"/>
    </row>
    <row r="67" spans="1:10" s="19" customFormat="1" ht="13" x14ac:dyDescent="0.3">
      <c r="A67" s="86"/>
      <c r="B67" s="87" t="s">
        <v>40</v>
      </c>
      <c r="C67" s="88"/>
      <c r="D67" s="88"/>
      <c r="E67" s="88"/>
      <c r="F67" s="88"/>
      <c r="G67" s="88"/>
      <c r="H67" s="88"/>
      <c r="I67" s="89"/>
    </row>
    <row r="68" spans="1:10" s="19" customFormat="1" ht="13" x14ac:dyDescent="0.3">
      <c r="A68" s="86"/>
      <c r="B68" s="87" t="s">
        <v>41</v>
      </c>
      <c r="C68" s="88"/>
      <c r="D68" s="88"/>
      <c r="E68" s="88"/>
      <c r="F68" s="88"/>
      <c r="G68" s="88"/>
      <c r="H68" s="88"/>
      <c r="I68" s="89"/>
    </row>
    <row r="69" spans="1:10" s="19" customFormat="1" ht="13" x14ac:dyDescent="0.3">
      <c r="A69" s="86"/>
      <c r="B69" s="87" t="s">
        <v>42</v>
      </c>
      <c r="C69" s="88"/>
      <c r="D69" s="88"/>
      <c r="E69" s="88"/>
      <c r="F69" s="88"/>
      <c r="G69" s="88"/>
      <c r="H69" s="88"/>
      <c r="I69" s="89"/>
    </row>
    <row r="70" spans="1:10" s="19" customFormat="1" ht="13" x14ac:dyDescent="0.3">
      <c r="A70" s="86"/>
      <c r="B70" s="88"/>
      <c r="C70" s="88"/>
      <c r="D70" s="88"/>
      <c r="E70" s="88"/>
      <c r="F70" s="88"/>
      <c r="G70" s="88"/>
      <c r="H70" s="88"/>
      <c r="I70" s="89"/>
    </row>
    <row r="71" spans="1:10" s="19" customFormat="1" ht="13" x14ac:dyDescent="0.3">
      <c r="A71" s="86" t="s">
        <v>183</v>
      </c>
      <c r="B71" s="87"/>
      <c r="C71" s="88"/>
      <c r="D71" s="88"/>
      <c r="E71" s="88"/>
      <c r="F71" s="88"/>
      <c r="G71" s="88"/>
      <c r="H71" s="88"/>
      <c r="I71" s="89"/>
    </row>
    <row r="72" spans="1:10" s="19" customFormat="1" ht="13" x14ac:dyDescent="0.3">
      <c r="A72" s="86" t="s">
        <v>43</v>
      </c>
      <c r="B72" s="88"/>
      <c r="C72" s="88"/>
      <c r="D72" s="88"/>
      <c r="E72" s="88"/>
      <c r="F72" s="88"/>
      <c r="G72" s="88"/>
      <c r="H72" s="88"/>
      <c r="I72" s="89"/>
    </row>
    <row r="73" spans="1:10" s="19" customFormat="1" ht="13" x14ac:dyDescent="0.3">
      <c r="A73" s="86" t="s">
        <v>44</v>
      </c>
      <c r="B73" s="88"/>
      <c r="C73" s="88"/>
      <c r="D73" s="88"/>
      <c r="E73" s="88"/>
      <c r="F73" s="88"/>
      <c r="G73" s="88"/>
      <c r="H73" s="88"/>
      <c r="I73" s="89"/>
    </row>
    <row r="74" spans="1:10" s="19" customFormat="1" ht="13" x14ac:dyDescent="0.3">
      <c r="A74" s="86" t="s">
        <v>45</v>
      </c>
      <c r="B74" s="88"/>
      <c r="C74" s="88"/>
      <c r="D74" s="87">
        <f>0.64*5.5+0.24*5.2+0.12*5.1</f>
        <v>5.38</v>
      </c>
      <c r="E74" s="90" t="s">
        <v>46</v>
      </c>
      <c r="F74" s="88"/>
      <c r="G74" s="88"/>
      <c r="H74" s="88"/>
      <c r="I74" s="89"/>
    </row>
    <row r="75" spans="1:10" s="19" customFormat="1" ht="13" x14ac:dyDescent="0.3">
      <c r="A75" s="86"/>
      <c r="B75" s="87"/>
      <c r="C75" s="88"/>
      <c r="D75" s="88"/>
      <c r="E75" s="88"/>
      <c r="F75" s="88"/>
      <c r="G75" s="88"/>
      <c r="H75" s="88"/>
      <c r="I75" s="91"/>
      <c r="J75" s="22"/>
    </row>
    <row r="76" spans="1:10" s="19" customFormat="1" ht="15" x14ac:dyDescent="0.3">
      <c r="A76" s="92" t="s">
        <v>47</v>
      </c>
      <c r="B76" s="87"/>
      <c r="C76" s="88"/>
      <c r="D76" s="88"/>
      <c r="E76" s="88"/>
      <c r="F76" s="88"/>
      <c r="G76" s="88"/>
      <c r="H76" s="88"/>
      <c r="I76" s="89"/>
    </row>
    <row r="77" spans="1:10" s="19" customFormat="1" ht="14.25" customHeight="1" x14ac:dyDescent="0.3">
      <c r="A77" s="93" t="s">
        <v>179</v>
      </c>
      <c r="B77" s="82">
        <v>1.75947907</v>
      </c>
      <c r="C77" s="88" t="s">
        <v>48</v>
      </c>
      <c r="D77" s="88"/>
      <c r="E77" s="88"/>
      <c r="F77" s="88"/>
      <c r="G77" s="88"/>
      <c r="H77" s="88"/>
      <c r="I77" s="89"/>
    </row>
    <row r="78" spans="1:10" s="19" customFormat="1" ht="15" x14ac:dyDescent="0.3">
      <c r="A78" s="93" t="s">
        <v>49</v>
      </c>
      <c r="B78" s="37">
        <f>'T° de référence générales'!C336</f>
        <v>7.12</v>
      </c>
      <c r="C78" s="88" t="s">
        <v>174</v>
      </c>
      <c r="D78" s="88"/>
      <c r="E78" s="88"/>
      <c r="F78" s="88"/>
      <c r="G78" s="88"/>
      <c r="H78" s="88"/>
      <c r="I78" s="89"/>
    </row>
    <row r="79" spans="1:10" s="19" customFormat="1" ht="13" x14ac:dyDescent="0.3">
      <c r="A79" s="93" t="s">
        <v>50</v>
      </c>
      <c r="B79" s="87">
        <v>17</v>
      </c>
      <c r="C79" s="88" t="s">
        <v>51</v>
      </c>
      <c r="D79" s="88"/>
      <c r="E79" s="88"/>
      <c r="F79" s="88"/>
      <c r="G79" s="88"/>
      <c r="H79" s="88"/>
      <c r="I79" s="89"/>
    </row>
    <row r="80" spans="1:10" s="19" customFormat="1" ht="13" x14ac:dyDescent="0.3">
      <c r="A80" s="94"/>
      <c r="B80" s="88"/>
      <c r="C80" s="88"/>
      <c r="D80" s="88"/>
      <c r="E80" s="88"/>
      <c r="F80" s="88"/>
      <c r="G80" s="88"/>
      <c r="H80" s="88"/>
      <c r="I80" s="89"/>
    </row>
    <row r="81" spans="1:10" ht="15" x14ac:dyDescent="0.3">
      <c r="A81" s="92" t="s">
        <v>52</v>
      </c>
      <c r="B81" s="95"/>
      <c r="C81" s="95"/>
      <c r="D81" s="95"/>
      <c r="E81" s="95"/>
      <c r="F81" s="95"/>
      <c r="G81" s="95"/>
      <c r="H81" s="95"/>
      <c r="I81" s="96"/>
    </row>
    <row r="82" spans="1:10" ht="13" x14ac:dyDescent="0.3">
      <c r="A82" s="86" t="s">
        <v>184</v>
      </c>
      <c r="B82" s="95"/>
      <c r="C82" s="95"/>
      <c r="D82" s="95"/>
      <c r="E82" s="95"/>
      <c r="F82" s="95"/>
      <c r="G82" s="95"/>
      <c r="H82" s="95"/>
      <c r="I82" s="96"/>
    </row>
    <row r="83" spans="1:10" ht="13" x14ac:dyDescent="0.3">
      <c r="A83" s="86"/>
      <c r="B83" s="95"/>
      <c r="C83" s="95"/>
      <c r="D83" s="95"/>
      <c r="E83" s="95"/>
      <c r="F83" s="95"/>
      <c r="G83" s="95"/>
      <c r="H83" s="95"/>
      <c r="I83" s="96"/>
    </row>
    <row r="84" spans="1:10" s="19" customFormat="1" ht="13" x14ac:dyDescent="0.3">
      <c r="A84" s="86" t="s">
        <v>53</v>
      </c>
      <c r="B84" s="88"/>
      <c r="C84" s="88"/>
      <c r="D84" s="88"/>
      <c r="E84" s="88"/>
      <c r="F84" s="88"/>
      <c r="G84" s="88"/>
      <c r="H84" s="88"/>
      <c r="I84" s="89"/>
    </row>
    <row r="85" spans="1:10" s="19" customFormat="1" ht="13" x14ac:dyDescent="0.3">
      <c r="A85" s="86" t="s">
        <v>54</v>
      </c>
      <c r="B85" s="88"/>
      <c r="C85" s="88"/>
      <c r="D85" s="97">
        <f>'Ajustement climatique'!F82</f>
        <v>-0.147677</v>
      </c>
      <c r="E85" s="97"/>
      <c r="F85" s="88"/>
      <c r="G85" s="88"/>
      <c r="H85" s="88"/>
      <c r="I85" s="89"/>
    </row>
    <row r="86" spans="1:10" s="19" customFormat="1" ht="13" x14ac:dyDescent="0.3">
      <c r="A86" s="86"/>
      <c r="B86" s="88"/>
      <c r="C86" s="88"/>
      <c r="D86" s="88"/>
      <c r="E86" s="88"/>
      <c r="F86" s="98"/>
      <c r="G86" s="98"/>
      <c r="H86" s="98"/>
      <c r="I86" s="99"/>
    </row>
    <row r="87" spans="1:10" s="19" customFormat="1" ht="13" x14ac:dyDescent="0.3">
      <c r="A87" s="86" t="s">
        <v>55</v>
      </c>
      <c r="B87" s="100"/>
      <c r="C87" s="101"/>
      <c r="D87" s="88"/>
      <c r="E87" s="88"/>
      <c r="F87" s="88"/>
      <c r="G87" s="88"/>
      <c r="H87" s="88"/>
      <c r="I87" s="89"/>
    </row>
    <row r="88" spans="1:10" s="19" customFormat="1" ht="13" x14ac:dyDescent="0.3">
      <c r="A88" s="102" t="s">
        <v>180</v>
      </c>
      <c r="B88" s="88">
        <f>B77</f>
        <v>1.75947907</v>
      </c>
      <c r="C88" s="103">
        <f>D85</f>
        <v>-0.147677</v>
      </c>
      <c r="D88" s="104" t="s">
        <v>56</v>
      </c>
      <c r="E88" s="88">
        <f>MIN(D74,B79)</f>
        <v>5.38</v>
      </c>
      <c r="F88" s="105">
        <f>-MIN(B78,B79)</f>
        <v>-7.12</v>
      </c>
      <c r="G88" s="105" t="s">
        <v>57</v>
      </c>
      <c r="H88" s="106">
        <f>B77+D85*(D74-B78)</f>
        <v>2.01643705</v>
      </c>
      <c r="I88" s="89"/>
    </row>
    <row r="89" spans="1:10" s="19" customFormat="1" ht="13" x14ac:dyDescent="0.3">
      <c r="A89" s="86"/>
      <c r="B89" s="88"/>
      <c r="C89" s="88"/>
      <c r="D89" s="88"/>
      <c r="E89" s="88"/>
      <c r="F89" s="88"/>
      <c r="G89" s="88"/>
      <c r="H89" s="88"/>
      <c r="I89" s="89"/>
    </row>
    <row r="90" spans="1:10" s="19" customFormat="1" ht="15" x14ac:dyDescent="0.3">
      <c r="A90" s="92" t="s">
        <v>58</v>
      </c>
      <c r="B90" s="87"/>
      <c r="C90" s="88"/>
      <c r="D90" s="88"/>
      <c r="E90" s="88"/>
      <c r="F90" s="88"/>
      <c r="G90" s="88"/>
      <c r="H90" s="88"/>
      <c r="I90" s="89"/>
    </row>
    <row r="91" spans="1:10" s="19" customFormat="1" ht="13" x14ac:dyDescent="0.3">
      <c r="A91" s="94" t="s">
        <v>59</v>
      </c>
      <c r="B91" s="88"/>
      <c r="C91" s="88"/>
      <c r="D91" s="107">
        <f>H88</f>
        <v>2.01643705</v>
      </c>
      <c r="E91" s="108" t="s">
        <v>60</v>
      </c>
      <c r="F91" s="109">
        <f>500000/365*D91</f>
        <v>2762.2425342465754</v>
      </c>
      <c r="G91" s="88"/>
      <c r="H91" s="87" t="s">
        <v>61</v>
      </c>
      <c r="I91" s="89"/>
    </row>
    <row r="92" spans="1:10" ht="13" x14ac:dyDescent="0.3">
      <c r="A92" s="86"/>
      <c r="B92" s="95"/>
      <c r="C92" s="95"/>
      <c r="D92" s="95"/>
      <c r="E92" s="95"/>
      <c r="F92" s="95"/>
      <c r="G92" s="95"/>
      <c r="H92" s="95"/>
      <c r="I92" s="96"/>
      <c r="J92" s="19"/>
    </row>
    <row r="93" spans="1:10" x14ac:dyDescent="0.25">
      <c r="A93" s="110"/>
      <c r="B93" s="95"/>
      <c r="C93" s="95"/>
      <c r="D93" s="95"/>
      <c r="E93" s="95"/>
      <c r="F93" s="95"/>
      <c r="G93" s="95"/>
      <c r="H93" s="95"/>
      <c r="I93" s="96"/>
    </row>
    <row r="94" spans="1:10" x14ac:dyDescent="0.25">
      <c r="A94" s="110"/>
      <c r="B94" s="95"/>
      <c r="C94" s="95"/>
      <c r="D94" s="95"/>
      <c r="E94" s="95"/>
      <c r="F94" s="95"/>
      <c r="G94" s="95"/>
      <c r="H94" s="95"/>
      <c r="I94" s="96"/>
    </row>
    <row r="95" spans="1:10" x14ac:dyDescent="0.25">
      <c r="A95" s="110"/>
      <c r="B95" s="95"/>
      <c r="C95" s="95"/>
      <c r="D95" s="95"/>
      <c r="E95" s="95"/>
      <c r="F95" s="95"/>
      <c r="G95" s="95"/>
      <c r="H95" s="95"/>
      <c r="I95" s="96"/>
    </row>
    <row r="96" spans="1:10" x14ac:dyDescent="0.25">
      <c r="A96" s="111"/>
      <c r="B96" s="112"/>
      <c r="C96" s="112"/>
      <c r="D96" s="112"/>
      <c r="E96" s="112"/>
      <c r="F96" s="112"/>
      <c r="G96" s="112"/>
      <c r="H96" s="112"/>
      <c r="I96" s="113"/>
    </row>
  </sheetData>
  <mergeCells count="1">
    <mergeCell ref="A1:H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1462"/>
  <sheetViews>
    <sheetView showGridLines="0" zoomScale="85" zoomScaleNormal="85" workbookViewId="0">
      <pane xSplit="2" ySplit="1" topLeftCell="C332" activePane="bottomRight" state="frozen"/>
      <selection pane="topRight" sqref="A1:G1"/>
      <selection pane="bottomLeft" sqref="A1:G1"/>
      <selection pane="bottomRight" activeCell="L364" sqref="L364"/>
    </sheetView>
  </sheetViews>
  <sheetFormatPr baseColWidth="10" defaultColWidth="11.453125" defaultRowHeight="14.5" x14ac:dyDescent="0.35"/>
  <cols>
    <col min="1" max="1" width="9.81640625" style="34" bestFit="1" customWidth="1"/>
    <col min="2" max="2" width="10.54296875" style="1" bestFit="1" customWidth="1"/>
    <col min="3" max="3" width="9.81640625" style="34" bestFit="1" customWidth="1"/>
    <col min="4" max="5" width="12" style="34" customWidth="1"/>
    <col min="6" max="12" width="14.453125" style="34" bestFit="1" customWidth="1"/>
    <col min="13" max="13" width="15" style="1" customWidth="1"/>
    <col min="14" max="19" width="11.453125" style="1"/>
    <col min="20" max="21" width="11.453125" style="77"/>
    <col min="22" max="16384" width="11.453125" style="1"/>
  </cols>
  <sheetData>
    <row r="1" spans="1:41" x14ac:dyDescent="0.35">
      <c r="A1" s="41" t="s">
        <v>62</v>
      </c>
      <c r="B1" s="41" t="s">
        <v>63</v>
      </c>
      <c r="C1" s="41" t="s">
        <v>64</v>
      </c>
      <c r="D1" s="41" t="s">
        <v>65</v>
      </c>
      <c r="E1" s="41" t="s">
        <v>66</v>
      </c>
      <c r="F1" s="41" t="s">
        <v>67</v>
      </c>
      <c r="G1" s="41" t="s">
        <v>68</v>
      </c>
      <c r="H1" s="41" t="s">
        <v>69</v>
      </c>
      <c r="I1" s="41" t="s">
        <v>70</v>
      </c>
      <c r="J1" s="41" t="s">
        <v>71</v>
      </c>
      <c r="K1" s="41" t="s">
        <v>72</v>
      </c>
      <c r="L1" s="41" t="s">
        <v>73</v>
      </c>
    </row>
    <row r="2" spans="1:41" s="2" customFormat="1" x14ac:dyDescent="0.35">
      <c r="A2" s="117">
        <v>4</v>
      </c>
      <c r="B2" s="118">
        <v>46113</v>
      </c>
      <c r="C2" s="119">
        <v>1</v>
      </c>
      <c r="D2" s="119">
        <v>1.16455262</v>
      </c>
      <c r="E2" s="119">
        <v>1.27577348</v>
      </c>
      <c r="F2" s="119">
        <v>1.1718244200000001</v>
      </c>
      <c r="G2" s="119">
        <v>1.2208140999999999</v>
      </c>
      <c r="H2" s="119">
        <v>1.3556576600000001</v>
      </c>
      <c r="I2" s="119">
        <v>1.2736459899999999</v>
      </c>
      <c r="J2" s="119">
        <v>1.29351203</v>
      </c>
      <c r="K2" s="119">
        <v>1.3334723399999999</v>
      </c>
      <c r="L2" s="119">
        <v>1.30309024</v>
      </c>
      <c r="T2" s="77"/>
      <c r="U2" s="77"/>
      <c r="V2" s="77"/>
      <c r="W2" s="77"/>
      <c r="X2" s="77"/>
      <c r="Y2" s="77"/>
      <c r="Z2" s="77"/>
      <c r="AA2" s="77"/>
      <c r="AB2" s="77"/>
      <c r="AC2" s="77"/>
      <c r="AD2" s="77"/>
      <c r="AE2" s="77"/>
      <c r="AF2" s="80"/>
      <c r="AG2" s="80"/>
      <c r="AH2" s="80"/>
      <c r="AI2" s="80"/>
      <c r="AJ2" s="80"/>
      <c r="AK2" s="80"/>
      <c r="AL2" s="80"/>
      <c r="AM2" s="80"/>
      <c r="AN2" s="80"/>
      <c r="AO2" s="80"/>
    </row>
    <row r="3" spans="1:41" x14ac:dyDescent="0.35">
      <c r="A3" s="47">
        <v>4</v>
      </c>
      <c r="B3" s="118">
        <v>46114</v>
      </c>
      <c r="C3" s="119">
        <v>1</v>
      </c>
      <c r="D3" s="119">
        <v>1.15492021</v>
      </c>
      <c r="E3" s="119">
        <v>1.25448581</v>
      </c>
      <c r="F3" s="119">
        <v>1.1735910000000001</v>
      </c>
      <c r="G3" s="119">
        <v>1.2189925500000001</v>
      </c>
      <c r="H3" s="119">
        <v>1.3503031999999999</v>
      </c>
      <c r="I3" s="119">
        <v>1.25868914</v>
      </c>
      <c r="J3" s="119">
        <v>1.27378006</v>
      </c>
      <c r="K3" s="119">
        <v>1.3085399900000001</v>
      </c>
      <c r="L3" s="119">
        <v>1.2746567099999999</v>
      </c>
      <c r="M3" s="2"/>
      <c r="N3" s="2"/>
      <c r="O3" s="2"/>
      <c r="P3" s="2"/>
      <c r="Q3" s="2"/>
      <c r="R3" s="2"/>
      <c r="S3" s="2"/>
      <c r="V3" s="77"/>
      <c r="W3" s="77"/>
      <c r="X3" s="77"/>
      <c r="Y3" s="77"/>
      <c r="Z3" s="77"/>
      <c r="AA3" s="77"/>
      <c r="AB3" s="77"/>
      <c r="AC3" s="77"/>
      <c r="AD3" s="77"/>
      <c r="AF3" s="80"/>
      <c r="AG3" s="80"/>
      <c r="AH3" s="80"/>
      <c r="AI3" s="80"/>
      <c r="AJ3" s="80"/>
      <c r="AK3" s="80"/>
      <c r="AL3" s="80"/>
      <c r="AM3" s="80"/>
      <c r="AN3" s="80"/>
      <c r="AO3" s="80"/>
    </row>
    <row r="4" spans="1:41" x14ac:dyDescent="0.35">
      <c r="A4" s="47">
        <v>4</v>
      </c>
      <c r="B4" s="118">
        <v>46115</v>
      </c>
      <c r="C4" s="119">
        <v>1</v>
      </c>
      <c r="D4" s="119">
        <v>1.1446883299999999</v>
      </c>
      <c r="E4" s="119">
        <v>1.23151583</v>
      </c>
      <c r="F4" s="119">
        <v>1.17535759</v>
      </c>
      <c r="G4" s="119">
        <v>1.217171</v>
      </c>
      <c r="H4" s="119">
        <v>1.3448139400000001</v>
      </c>
      <c r="I4" s="119">
        <v>1.24264134</v>
      </c>
      <c r="J4" s="119">
        <v>1.2525205800000001</v>
      </c>
      <c r="K4" s="119">
        <v>1.2815961300000001</v>
      </c>
      <c r="L4" s="119">
        <v>1.2438802</v>
      </c>
      <c r="M4" s="2"/>
      <c r="N4" s="2"/>
      <c r="O4" s="2"/>
      <c r="P4" s="2"/>
      <c r="Q4" s="2"/>
      <c r="R4" s="2"/>
      <c r="S4" s="2"/>
      <c r="V4" s="77"/>
      <c r="W4" s="77"/>
      <c r="X4" s="77"/>
      <c r="Y4" s="77"/>
      <c r="Z4" s="77"/>
      <c r="AA4" s="77"/>
      <c r="AB4" s="77"/>
      <c r="AC4" s="77"/>
      <c r="AD4" s="77"/>
      <c r="AF4" s="80"/>
      <c r="AG4" s="80"/>
      <c r="AH4" s="80"/>
      <c r="AI4" s="80"/>
      <c r="AJ4" s="80"/>
      <c r="AK4" s="80"/>
      <c r="AL4" s="80"/>
      <c r="AM4" s="80"/>
      <c r="AN4" s="80"/>
      <c r="AO4" s="80"/>
    </row>
    <row r="5" spans="1:41" x14ac:dyDescent="0.35">
      <c r="A5" s="47">
        <v>4</v>
      </c>
      <c r="B5" s="118">
        <v>46116</v>
      </c>
      <c r="C5" s="119">
        <v>0</v>
      </c>
      <c r="D5" s="119">
        <v>1.18799561</v>
      </c>
      <c r="E5" s="119">
        <v>1.16604804</v>
      </c>
      <c r="F5" s="119">
        <v>0.43449115999999999</v>
      </c>
      <c r="G5" s="119">
        <v>0.71533294999999997</v>
      </c>
      <c r="H5" s="119">
        <v>0.83715256999999998</v>
      </c>
      <c r="I5" s="119">
        <v>1.1191451299999999</v>
      </c>
      <c r="J5" s="119">
        <v>1.1313595400000001</v>
      </c>
      <c r="K5" s="119">
        <v>1.0856496600000001</v>
      </c>
      <c r="L5" s="119">
        <v>1.05469452</v>
      </c>
      <c r="M5" s="2"/>
      <c r="N5" s="2"/>
      <c r="O5" s="2"/>
      <c r="P5" s="2"/>
      <c r="Q5" s="2"/>
      <c r="R5" s="2"/>
      <c r="S5" s="2"/>
      <c r="V5" s="77"/>
      <c r="W5" s="77"/>
      <c r="X5" s="77"/>
      <c r="Y5" s="77"/>
      <c r="Z5" s="77"/>
      <c r="AA5" s="77"/>
      <c r="AB5" s="77"/>
      <c r="AC5" s="77"/>
      <c r="AD5" s="77"/>
      <c r="AF5" s="80"/>
      <c r="AG5" s="80"/>
      <c r="AH5" s="80"/>
      <c r="AI5" s="80"/>
      <c r="AJ5" s="80"/>
      <c r="AK5" s="80"/>
      <c r="AL5" s="80"/>
      <c r="AM5" s="80"/>
      <c r="AN5" s="80"/>
      <c r="AO5" s="80"/>
    </row>
    <row r="6" spans="1:41" x14ac:dyDescent="0.35">
      <c r="A6" s="47">
        <v>4</v>
      </c>
      <c r="B6" s="118">
        <v>46117</v>
      </c>
      <c r="C6" s="119">
        <v>0</v>
      </c>
      <c r="D6" s="119">
        <v>1.1772498300000001</v>
      </c>
      <c r="E6" s="119">
        <v>1.1446929299999999</v>
      </c>
      <c r="F6" s="119">
        <v>0.43354694999999999</v>
      </c>
      <c r="G6" s="119">
        <v>0.71273598999999999</v>
      </c>
      <c r="H6" s="119">
        <v>0.83228827000000005</v>
      </c>
      <c r="I6" s="119">
        <v>1.1044090799999999</v>
      </c>
      <c r="J6" s="119">
        <v>1.1121692999999999</v>
      </c>
      <c r="K6" s="119">
        <v>1.0627103899999999</v>
      </c>
      <c r="L6" s="119">
        <v>1.0285568599999999</v>
      </c>
      <c r="M6" s="2"/>
      <c r="N6" s="2"/>
      <c r="O6" s="2"/>
      <c r="P6" s="2"/>
      <c r="Q6" s="2"/>
      <c r="R6" s="2"/>
      <c r="S6" s="2"/>
      <c r="V6" s="77"/>
      <c r="W6" s="77"/>
      <c r="X6" s="77"/>
      <c r="Y6" s="77"/>
      <c r="Z6" s="77"/>
      <c r="AA6" s="77"/>
      <c r="AB6" s="77"/>
      <c r="AC6" s="77"/>
      <c r="AD6" s="77"/>
      <c r="AF6" s="80"/>
      <c r="AG6" s="80"/>
      <c r="AH6" s="80"/>
      <c r="AI6" s="80"/>
      <c r="AJ6" s="80"/>
      <c r="AK6" s="80"/>
      <c r="AL6" s="80"/>
      <c r="AM6" s="80"/>
      <c r="AN6" s="80"/>
      <c r="AO6" s="80"/>
    </row>
    <row r="7" spans="1:41" x14ac:dyDescent="0.35">
      <c r="A7" s="47">
        <v>4</v>
      </c>
      <c r="B7" s="118">
        <v>46118</v>
      </c>
      <c r="C7" s="119">
        <v>0</v>
      </c>
      <c r="D7" s="119">
        <v>1.16646798</v>
      </c>
      <c r="E7" s="119">
        <v>1.12332231</v>
      </c>
      <c r="F7" s="119">
        <v>0.43260274999999998</v>
      </c>
      <c r="G7" s="119">
        <v>0.71013903</v>
      </c>
      <c r="H7" s="119">
        <v>0.82739664000000002</v>
      </c>
      <c r="I7" s="119">
        <v>1.0896503399999999</v>
      </c>
      <c r="J7" s="119">
        <v>1.0929587300000001</v>
      </c>
      <c r="K7" s="119">
        <v>1.0397588799999999</v>
      </c>
      <c r="L7" s="119">
        <v>1.00241399</v>
      </c>
      <c r="M7" s="2"/>
      <c r="N7" s="2"/>
      <c r="O7" s="2"/>
      <c r="P7" s="2"/>
      <c r="Q7" s="2"/>
      <c r="R7" s="2"/>
      <c r="S7" s="2"/>
      <c r="V7" s="77"/>
      <c r="W7" s="77"/>
      <c r="X7" s="77"/>
      <c r="Y7" s="77"/>
      <c r="Z7" s="77"/>
      <c r="AA7" s="77"/>
      <c r="AB7" s="77"/>
      <c r="AC7" s="77"/>
      <c r="AD7" s="77"/>
      <c r="AF7" s="80"/>
      <c r="AG7" s="80"/>
      <c r="AH7" s="80"/>
      <c r="AI7" s="80"/>
      <c r="AJ7" s="80"/>
      <c r="AK7" s="80"/>
      <c r="AL7" s="80"/>
      <c r="AM7" s="80"/>
      <c r="AN7" s="80"/>
      <c r="AO7" s="80"/>
    </row>
    <row r="8" spans="1:41" x14ac:dyDescent="0.35">
      <c r="A8" s="47">
        <v>4</v>
      </c>
      <c r="B8" s="118">
        <v>46119</v>
      </c>
      <c r="C8" s="119">
        <v>1</v>
      </c>
      <c r="D8" s="119">
        <v>1.10558757</v>
      </c>
      <c r="E8" s="119">
        <v>1.14610747</v>
      </c>
      <c r="F8" s="119">
        <v>1.1824239299999999</v>
      </c>
      <c r="G8" s="119">
        <v>1.2098848200000001</v>
      </c>
      <c r="H8" s="119">
        <v>1.3225209099999999</v>
      </c>
      <c r="I8" s="119">
        <v>1.18237704</v>
      </c>
      <c r="J8" s="119">
        <v>1.1732643300000001</v>
      </c>
      <c r="K8" s="119">
        <v>1.1816807499999999</v>
      </c>
      <c r="L8" s="119">
        <v>1.1300717</v>
      </c>
      <c r="M8" s="2"/>
      <c r="N8" s="2"/>
      <c r="O8" s="2"/>
      <c r="P8" s="2"/>
      <c r="Q8" s="2"/>
      <c r="R8" s="2"/>
      <c r="S8" s="2"/>
      <c r="V8" s="77"/>
      <c r="W8" s="77"/>
      <c r="X8" s="77"/>
      <c r="Y8" s="77"/>
      <c r="Z8" s="77"/>
      <c r="AA8" s="77"/>
      <c r="AB8" s="77"/>
      <c r="AC8" s="77"/>
      <c r="AD8" s="77"/>
      <c r="AF8" s="80"/>
      <c r="AG8" s="80"/>
      <c r="AH8" s="80"/>
      <c r="AI8" s="80"/>
      <c r="AJ8" s="80"/>
      <c r="AK8" s="80"/>
      <c r="AL8" s="80"/>
      <c r="AM8" s="80"/>
      <c r="AN8" s="80"/>
      <c r="AO8" s="80"/>
    </row>
    <row r="9" spans="1:41" x14ac:dyDescent="0.35">
      <c r="A9" s="47">
        <v>4</v>
      </c>
      <c r="B9" s="118">
        <v>46120</v>
      </c>
      <c r="C9" s="119">
        <v>1</v>
      </c>
      <c r="D9" s="119">
        <v>1.09516138</v>
      </c>
      <c r="E9" s="119">
        <v>1.12304984</v>
      </c>
      <c r="F9" s="119">
        <v>1.18419052</v>
      </c>
      <c r="G9" s="119">
        <v>1.20806327</v>
      </c>
      <c r="H9" s="119">
        <v>1.31673391</v>
      </c>
      <c r="I9" s="119">
        <v>1.1661805999999999</v>
      </c>
      <c r="J9" s="119">
        <v>1.1518931400000001</v>
      </c>
      <c r="K9" s="119">
        <v>1.1546736099999999</v>
      </c>
      <c r="L9" s="119">
        <v>1.0992698700000001</v>
      </c>
      <c r="M9" s="2"/>
      <c r="N9" s="2"/>
      <c r="O9" s="2"/>
      <c r="P9" s="2"/>
      <c r="Q9" s="2"/>
      <c r="R9" s="2"/>
      <c r="S9" s="2"/>
      <c r="V9" s="77"/>
      <c r="W9" s="77"/>
      <c r="X9" s="77"/>
      <c r="Y9" s="77"/>
      <c r="Z9" s="77"/>
      <c r="AA9" s="77"/>
      <c r="AB9" s="77"/>
      <c r="AC9" s="77"/>
      <c r="AD9" s="77"/>
      <c r="AF9" s="80"/>
      <c r="AG9" s="80"/>
      <c r="AH9" s="80"/>
      <c r="AI9" s="80"/>
      <c r="AJ9" s="80"/>
      <c r="AK9" s="80"/>
      <c r="AL9" s="80"/>
      <c r="AM9" s="80"/>
      <c r="AN9" s="80"/>
      <c r="AO9" s="80"/>
    </row>
    <row r="10" spans="1:41" x14ac:dyDescent="0.35">
      <c r="A10" s="47">
        <v>4</v>
      </c>
      <c r="B10" s="118">
        <v>46121</v>
      </c>
      <c r="C10" s="119">
        <v>1</v>
      </c>
      <c r="D10" s="119">
        <v>1.0858139600000001</v>
      </c>
      <c r="E10" s="119">
        <v>1.10330259</v>
      </c>
      <c r="F10" s="119">
        <v>1.1859571099999999</v>
      </c>
      <c r="G10" s="119">
        <v>1.20624172</v>
      </c>
      <c r="H10" s="119">
        <v>1.3110323399999999</v>
      </c>
      <c r="I10" s="119">
        <v>1.1520741299999999</v>
      </c>
      <c r="J10" s="119">
        <v>1.13350788</v>
      </c>
      <c r="K10" s="119">
        <v>1.1316503600000001</v>
      </c>
      <c r="L10" s="119">
        <v>1.07313836</v>
      </c>
      <c r="M10" s="2"/>
      <c r="N10" s="2"/>
      <c r="O10" s="2"/>
      <c r="P10" s="2"/>
      <c r="Q10" s="2"/>
      <c r="R10" s="2"/>
      <c r="S10" s="2"/>
      <c r="V10" s="77"/>
      <c r="W10" s="77"/>
      <c r="X10" s="77"/>
      <c r="Y10" s="77"/>
      <c r="Z10" s="77"/>
      <c r="AA10" s="77"/>
      <c r="AB10" s="77"/>
      <c r="AC10" s="77"/>
      <c r="AD10" s="77"/>
      <c r="AF10" s="80"/>
      <c r="AG10" s="80"/>
      <c r="AH10" s="80"/>
      <c r="AI10" s="80"/>
      <c r="AJ10" s="80"/>
      <c r="AK10" s="80"/>
      <c r="AL10" s="80"/>
      <c r="AM10" s="80"/>
      <c r="AN10" s="80"/>
      <c r="AO10" s="80"/>
    </row>
    <row r="11" spans="1:41" x14ac:dyDescent="0.35">
      <c r="A11" s="47">
        <v>4</v>
      </c>
      <c r="B11" s="118">
        <v>46122</v>
      </c>
      <c r="C11" s="119">
        <v>1</v>
      </c>
      <c r="D11" s="119">
        <v>1.0758757699999999</v>
      </c>
      <c r="E11" s="119">
        <v>1.08187696</v>
      </c>
      <c r="F11" s="119">
        <v>1.1877236900000001</v>
      </c>
      <c r="G11" s="119">
        <v>1.2044201800000001</v>
      </c>
      <c r="H11" s="119">
        <v>1.3052093199999999</v>
      </c>
      <c r="I11" s="119">
        <v>1.1368833599999999</v>
      </c>
      <c r="J11" s="119">
        <v>1.1136001099999999</v>
      </c>
      <c r="K11" s="119">
        <v>1.1066184400000001</v>
      </c>
      <c r="L11" s="119">
        <v>1.044665</v>
      </c>
      <c r="M11" s="2"/>
      <c r="N11" s="2"/>
      <c r="O11" s="2"/>
      <c r="P11" s="2"/>
      <c r="Q11" s="2"/>
      <c r="R11" s="2"/>
      <c r="S11" s="2"/>
      <c r="V11" s="77"/>
      <c r="W11" s="77"/>
      <c r="X11" s="77"/>
      <c r="Y11" s="77"/>
      <c r="Z11" s="77"/>
      <c r="AA11" s="77"/>
      <c r="AB11" s="77"/>
      <c r="AC11" s="77"/>
      <c r="AD11" s="77"/>
      <c r="AF11" s="80"/>
      <c r="AG11" s="80"/>
      <c r="AH11" s="80"/>
      <c r="AI11" s="80"/>
      <c r="AJ11" s="80"/>
      <c r="AK11" s="80"/>
      <c r="AL11" s="80"/>
      <c r="AM11" s="80"/>
      <c r="AN11" s="80"/>
      <c r="AO11" s="80"/>
    </row>
    <row r="12" spans="1:41" x14ac:dyDescent="0.35">
      <c r="A12" s="47">
        <v>4</v>
      </c>
      <c r="B12" s="118">
        <v>46123</v>
      </c>
      <c r="C12" s="119">
        <v>0</v>
      </c>
      <c r="D12" s="119">
        <v>1.1120584499999999</v>
      </c>
      <c r="E12" s="119">
        <v>1.0162540799999999</v>
      </c>
      <c r="F12" s="119">
        <v>0.42788171000000003</v>
      </c>
      <c r="G12" s="119">
        <v>0.69715422999999999</v>
      </c>
      <c r="H12" s="119">
        <v>0.80255931000000003</v>
      </c>
      <c r="I12" s="119">
        <v>1.0155418000000001</v>
      </c>
      <c r="J12" s="119">
        <v>0.99662379000000001</v>
      </c>
      <c r="K12" s="119">
        <v>0.92483174000000001</v>
      </c>
      <c r="L12" s="119">
        <v>0.87162724999999996</v>
      </c>
      <c r="M12" s="2"/>
      <c r="N12" s="2"/>
      <c r="O12" s="2"/>
      <c r="P12" s="2"/>
      <c r="Q12" s="2"/>
      <c r="R12" s="2"/>
      <c r="S12" s="2"/>
      <c r="V12" s="77"/>
      <c r="W12" s="77"/>
      <c r="X12" s="77"/>
      <c r="Y12" s="77"/>
      <c r="Z12" s="77"/>
      <c r="AA12" s="77"/>
      <c r="AB12" s="77"/>
      <c r="AC12" s="77"/>
      <c r="AD12" s="77"/>
      <c r="AF12" s="80"/>
      <c r="AG12" s="80"/>
      <c r="AH12" s="80"/>
      <c r="AI12" s="80"/>
      <c r="AJ12" s="80"/>
      <c r="AK12" s="80"/>
      <c r="AL12" s="80"/>
      <c r="AM12" s="80"/>
      <c r="AN12" s="80"/>
      <c r="AO12" s="80"/>
    </row>
    <row r="13" spans="1:41" x14ac:dyDescent="0.35">
      <c r="A13" s="47">
        <v>4</v>
      </c>
      <c r="B13" s="118">
        <v>46124</v>
      </c>
      <c r="C13" s="119">
        <v>0</v>
      </c>
      <c r="D13" s="119">
        <v>1.1017426100000001</v>
      </c>
      <c r="E13" s="119">
        <v>0.99647838</v>
      </c>
      <c r="F13" s="119">
        <v>0.42693750000000003</v>
      </c>
      <c r="G13" s="119">
        <v>0.69455727</v>
      </c>
      <c r="H13" s="119">
        <v>0.79774756000000002</v>
      </c>
      <c r="I13" s="119">
        <v>1.00174082</v>
      </c>
      <c r="J13" s="119">
        <v>0.97877026</v>
      </c>
      <c r="K13" s="119">
        <v>0.90364622999999999</v>
      </c>
      <c r="L13" s="119">
        <v>0.84760038999999998</v>
      </c>
      <c r="M13" s="2"/>
      <c r="N13" s="2"/>
      <c r="O13" s="2"/>
      <c r="P13" s="2"/>
      <c r="Q13" s="2"/>
      <c r="R13" s="2"/>
      <c r="S13" s="2"/>
      <c r="V13" s="77"/>
      <c r="W13" s="77"/>
      <c r="X13" s="77"/>
      <c r="Y13" s="77"/>
      <c r="Z13" s="77"/>
      <c r="AA13" s="77"/>
      <c r="AB13" s="77"/>
      <c r="AC13" s="77"/>
      <c r="AD13" s="77"/>
      <c r="AF13" s="80"/>
      <c r="AG13" s="80"/>
      <c r="AH13" s="80"/>
      <c r="AI13" s="80"/>
      <c r="AJ13" s="80"/>
      <c r="AK13" s="80"/>
      <c r="AL13" s="80"/>
      <c r="AM13" s="80"/>
      <c r="AN13" s="80"/>
      <c r="AO13" s="80"/>
    </row>
    <row r="14" spans="1:41" x14ac:dyDescent="0.35">
      <c r="A14" s="47">
        <v>4</v>
      </c>
      <c r="B14" s="118">
        <v>46125</v>
      </c>
      <c r="C14" s="119">
        <v>1</v>
      </c>
      <c r="D14" s="119">
        <v>1.0469849</v>
      </c>
      <c r="E14" s="119">
        <v>1.02084051</v>
      </c>
      <c r="F14" s="119">
        <v>1.1930234500000001</v>
      </c>
      <c r="G14" s="119">
        <v>1.19895554</v>
      </c>
      <c r="H14" s="119">
        <v>1.2875880500000001</v>
      </c>
      <c r="I14" s="119">
        <v>1.09328241</v>
      </c>
      <c r="J14" s="119">
        <v>1.05677358</v>
      </c>
      <c r="K14" s="119">
        <v>1.03545606</v>
      </c>
      <c r="L14" s="119">
        <v>0.96389504000000004</v>
      </c>
      <c r="M14" s="2"/>
      <c r="N14" s="2"/>
      <c r="O14" s="2"/>
      <c r="P14" s="2"/>
      <c r="Q14" s="2"/>
      <c r="R14" s="2"/>
      <c r="S14" s="2"/>
      <c r="V14" s="77"/>
      <c r="W14" s="77"/>
      <c r="X14" s="77"/>
      <c r="Y14" s="77"/>
      <c r="Z14" s="77"/>
      <c r="AA14" s="77"/>
      <c r="AB14" s="77"/>
      <c r="AC14" s="77"/>
      <c r="AD14" s="77"/>
      <c r="AF14" s="80"/>
      <c r="AG14" s="80"/>
      <c r="AH14" s="80"/>
      <c r="AI14" s="80"/>
      <c r="AJ14" s="80"/>
      <c r="AK14" s="80"/>
      <c r="AL14" s="80"/>
      <c r="AM14" s="80"/>
      <c r="AN14" s="80"/>
      <c r="AO14" s="80"/>
    </row>
    <row r="15" spans="1:41" x14ac:dyDescent="0.35">
      <c r="A15" s="47">
        <v>4</v>
      </c>
      <c r="B15" s="118">
        <v>46126</v>
      </c>
      <c r="C15" s="119">
        <v>1</v>
      </c>
      <c r="D15" s="119">
        <v>1.0363672799999999</v>
      </c>
      <c r="E15" s="119">
        <v>0.99769653000000003</v>
      </c>
      <c r="F15" s="119">
        <v>1.19479004</v>
      </c>
      <c r="G15" s="119">
        <v>1.19713399</v>
      </c>
      <c r="H15" s="119">
        <v>1.28150772</v>
      </c>
      <c r="I15" s="119">
        <v>1.0769395399999999</v>
      </c>
      <c r="J15" s="119">
        <v>1.03529235</v>
      </c>
      <c r="K15" s="119">
        <v>1.00838659</v>
      </c>
      <c r="L15" s="119">
        <v>0.93306827000000003</v>
      </c>
      <c r="M15" s="2"/>
      <c r="N15" s="2"/>
      <c r="O15" s="2"/>
      <c r="P15" s="2"/>
      <c r="Q15" s="2"/>
      <c r="R15" s="2"/>
      <c r="S15" s="2"/>
      <c r="V15" s="77"/>
      <c r="W15" s="77"/>
      <c r="X15" s="77"/>
      <c r="Y15" s="77"/>
      <c r="Z15" s="77"/>
      <c r="AA15" s="77"/>
      <c r="AB15" s="77"/>
      <c r="AC15" s="77"/>
      <c r="AD15" s="77"/>
      <c r="AF15" s="80"/>
      <c r="AG15" s="80"/>
      <c r="AH15" s="80"/>
      <c r="AI15" s="80"/>
      <c r="AJ15" s="80"/>
      <c r="AK15" s="80"/>
      <c r="AL15" s="80"/>
      <c r="AM15" s="80"/>
      <c r="AN15" s="80"/>
      <c r="AO15" s="80"/>
    </row>
    <row r="16" spans="1:41" x14ac:dyDescent="0.35">
      <c r="A16" s="47">
        <v>4</v>
      </c>
      <c r="B16" s="118">
        <v>46127</v>
      </c>
      <c r="C16" s="119">
        <v>1</v>
      </c>
      <c r="D16" s="119">
        <v>1.0268361500000001</v>
      </c>
      <c r="E16" s="119">
        <v>0.97786640000000002</v>
      </c>
      <c r="F16" s="119">
        <v>1.19655662</v>
      </c>
      <c r="G16" s="119">
        <v>1.1953124399999999</v>
      </c>
      <c r="H16" s="119">
        <v>1.2755246499999999</v>
      </c>
      <c r="I16" s="119">
        <v>1.0626925300000001</v>
      </c>
      <c r="J16" s="119">
        <v>1.0168014700000001</v>
      </c>
      <c r="K16" s="119">
        <v>0.98530351999999999</v>
      </c>
      <c r="L16" s="119">
        <v>0.90691283</v>
      </c>
      <c r="M16" s="2"/>
      <c r="N16" s="2"/>
      <c r="O16" s="2"/>
      <c r="P16" s="2"/>
      <c r="Q16" s="2"/>
      <c r="R16" s="2"/>
      <c r="S16" s="2"/>
      <c r="V16" s="77"/>
      <c r="W16" s="77"/>
      <c r="X16" s="77"/>
      <c r="Y16" s="77"/>
      <c r="Z16" s="77"/>
      <c r="AA16" s="77"/>
      <c r="AB16" s="77"/>
      <c r="AC16" s="77"/>
      <c r="AD16" s="77"/>
      <c r="AF16" s="80"/>
      <c r="AG16" s="80"/>
      <c r="AH16" s="80"/>
      <c r="AI16" s="80"/>
      <c r="AJ16" s="80"/>
      <c r="AK16" s="80"/>
      <c r="AL16" s="80"/>
      <c r="AM16" s="80"/>
      <c r="AN16" s="80"/>
      <c r="AO16" s="80"/>
    </row>
    <row r="17" spans="1:41" x14ac:dyDescent="0.35">
      <c r="A17" s="47">
        <v>4</v>
      </c>
      <c r="B17" s="118">
        <v>46128</v>
      </c>
      <c r="C17" s="119">
        <v>1</v>
      </c>
      <c r="D17" s="119">
        <v>1.01727893</v>
      </c>
      <c r="E17" s="119">
        <v>0.95802449999999995</v>
      </c>
      <c r="F17" s="119">
        <v>1.19752082</v>
      </c>
      <c r="G17" s="119">
        <v>1.1936433</v>
      </c>
      <c r="H17" s="119">
        <v>1.26950159</v>
      </c>
      <c r="I17" s="119">
        <v>1.04842557</v>
      </c>
      <c r="J17" s="119">
        <v>0.99829559000000001</v>
      </c>
      <c r="K17" s="119">
        <v>0.96221195999999998</v>
      </c>
      <c r="L17" s="119">
        <v>0.88075398999999999</v>
      </c>
      <c r="M17" s="2"/>
      <c r="N17" s="2"/>
      <c r="O17" s="2"/>
      <c r="P17" s="2"/>
      <c r="Q17" s="2"/>
      <c r="R17" s="2"/>
      <c r="S17" s="2"/>
      <c r="V17" s="77"/>
      <c r="W17" s="77"/>
      <c r="X17" s="77"/>
      <c r="Y17" s="77"/>
      <c r="Z17" s="77"/>
      <c r="AA17" s="77"/>
      <c r="AB17" s="77"/>
      <c r="AC17" s="77"/>
      <c r="AD17" s="77"/>
      <c r="AF17" s="80"/>
      <c r="AG17" s="80"/>
      <c r="AH17" s="80"/>
      <c r="AI17" s="80"/>
      <c r="AJ17" s="80"/>
      <c r="AK17" s="80"/>
      <c r="AL17" s="80"/>
      <c r="AM17" s="80"/>
      <c r="AN17" s="80"/>
      <c r="AO17" s="80"/>
    </row>
    <row r="18" spans="1:41" x14ac:dyDescent="0.35">
      <c r="A18" s="47">
        <v>4</v>
      </c>
      <c r="B18" s="118">
        <v>46129</v>
      </c>
      <c r="C18" s="119">
        <v>1</v>
      </c>
      <c r="D18" s="119">
        <v>1.00825385</v>
      </c>
      <c r="E18" s="119">
        <v>0.93983452000000001</v>
      </c>
      <c r="F18" s="119">
        <v>1.19848501</v>
      </c>
      <c r="G18" s="119">
        <v>1.19197416</v>
      </c>
      <c r="H18" s="119">
        <v>1.2635101399999999</v>
      </c>
      <c r="I18" s="119">
        <v>1.03519804</v>
      </c>
      <c r="J18" s="119">
        <v>0.98127850999999999</v>
      </c>
      <c r="K18" s="119">
        <v>0.94110998000000001</v>
      </c>
      <c r="L18" s="119">
        <v>0.85692937000000002</v>
      </c>
      <c r="M18" s="2"/>
      <c r="N18" s="2"/>
      <c r="O18" s="2"/>
      <c r="P18" s="2"/>
      <c r="Q18" s="2"/>
      <c r="R18" s="2"/>
      <c r="S18" s="2"/>
      <c r="V18" s="77"/>
      <c r="W18" s="77"/>
      <c r="X18" s="77"/>
      <c r="Y18" s="77"/>
      <c r="Z18" s="77"/>
      <c r="AA18" s="77"/>
      <c r="AB18" s="77"/>
      <c r="AC18" s="77"/>
      <c r="AD18" s="77"/>
      <c r="AF18" s="80"/>
      <c r="AG18" s="80"/>
      <c r="AH18" s="80"/>
      <c r="AI18" s="80"/>
      <c r="AJ18" s="80"/>
      <c r="AK18" s="80"/>
      <c r="AL18" s="80"/>
      <c r="AM18" s="80"/>
      <c r="AN18" s="80"/>
      <c r="AO18" s="80"/>
    </row>
    <row r="19" spans="1:41" x14ac:dyDescent="0.35">
      <c r="A19" s="47">
        <v>4</v>
      </c>
      <c r="B19" s="118">
        <v>46130</v>
      </c>
      <c r="C19" s="119">
        <v>0</v>
      </c>
      <c r="D19" s="119">
        <v>1.0379897600000001</v>
      </c>
      <c r="E19" s="119">
        <v>0.87423622000000001</v>
      </c>
      <c r="F19" s="119">
        <v>0.42918658999999998</v>
      </c>
      <c r="G19" s="119">
        <v>0.68430044999999995</v>
      </c>
      <c r="H19" s="119">
        <v>0.76801565000000005</v>
      </c>
      <c r="I19" s="119">
        <v>0.91643684999999997</v>
      </c>
      <c r="J19" s="119">
        <v>0.86841301999999998</v>
      </c>
      <c r="K19" s="119">
        <v>0.77268729999999997</v>
      </c>
      <c r="L19" s="119">
        <v>0.69907326999999997</v>
      </c>
      <c r="M19" s="2"/>
      <c r="N19" s="2"/>
      <c r="O19" s="2"/>
      <c r="P19" s="2"/>
      <c r="Q19" s="2"/>
      <c r="R19" s="2"/>
      <c r="S19" s="2"/>
      <c r="V19" s="77"/>
      <c r="W19" s="77"/>
      <c r="X19" s="77"/>
      <c r="Y19" s="77"/>
      <c r="Z19" s="77"/>
      <c r="AA19" s="77"/>
      <c r="AB19" s="77"/>
      <c r="AC19" s="77"/>
      <c r="AD19" s="77"/>
      <c r="AF19" s="80"/>
      <c r="AG19" s="80"/>
      <c r="AH19" s="80"/>
      <c r="AI19" s="80"/>
      <c r="AJ19" s="80"/>
      <c r="AK19" s="80"/>
      <c r="AL19" s="80"/>
      <c r="AM19" s="80"/>
      <c r="AN19" s="80"/>
      <c r="AO19" s="80"/>
    </row>
    <row r="20" spans="1:41" x14ac:dyDescent="0.35">
      <c r="A20" s="47">
        <v>4</v>
      </c>
      <c r="B20" s="118">
        <v>46131</v>
      </c>
      <c r="C20" s="119">
        <v>0</v>
      </c>
      <c r="D20" s="119">
        <v>1.0275044200000001</v>
      </c>
      <c r="E20" s="119">
        <v>0.85438762999999995</v>
      </c>
      <c r="F20" s="119">
        <v>0.4308805</v>
      </c>
      <c r="G20" s="119">
        <v>0.68347846999999995</v>
      </c>
      <c r="H20" s="119">
        <v>0.76307544000000005</v>
      </c>
      <c r="I20" s="119">
        <v>0.90252922000000002</v>
      </c>
      <c r="J20" s="119">
        <v>0.85046392000000004</v>
      </c>
      <c r="K20" s="119">
        <v>0.75144432000000005</v>
      </c>
      <c r="L20" s="119">
        <v>0.67502189000000001</v>
      </c>
      <c r="M20" s="2"/>
      <c r="N20" s="2"/>
      <c r="O20" s="2"/>
      <c r="P20" s="2"/>
      <c r="Q20" s="2"/>
      <c r="R20" s="2"/>
      <c r="S20" s="2"/>
      <c r="V20" s="77"/>
      <c r="W20" s="77"/>
      <c r="X20" s="77"/>
      <c r="Y20" s="77"/>
      <c r="Z20" s="77"/>
      <c r="AA20" s="77"/>
      <c r="AB20" s="77"/>
      <c r="AC20" s="77"/>
      <c r="AD20" s="77"/>
      <c r="AF20" s="80"/>
      <c r="AG20" s="80"/>
      <c r="AH20" s="80"/>
      <c r="AI20" s="80"/>
      <c r="AJ20" s="80"/>
      <c r="AK20" s="80"/>
      <c r="AL20" s="80"/>
      <c r="AM20" s="80"/>
      <c r="AN20" s="80"/>
      <c r="AO20" s="80"/>
    </row>
    <row r="21" spans="1:41" x14ac:dyDescent="0.35">
      <c r="A21" s="47">
        <v>4</v>
      </c>
      <c r="B21" s="118">
        <v>46132</v>
      </c>
      <c r="C21" s="119">
        <v>1</v>
      </c>
      <c r="D21" s="119">
        <v>0.97881492999999997</v>
      </c>
      <c r="E21" s="119">
        <v>0.87855084000000006</v>
      </c>
      <c r="F21" s="119">
        <v>1.2013776</v>
      </c>
      <c r="G21" s="119">
        <v>1.18696672</v>
      </c>
      <c r="H21" s="119">
        <v>1.2450490999999999</v>
      </c>
      <c r="I21" s="119">
        <v>0.99117785999999997</v>
      </c>
      <c r="J21" s="119">
        <v>0.92413692000000003</v>
      </c>
      <c r="K21" s="119">
        <v>0.86976914000000005</v>
      </c>
      <c r="L21" s="119">
        <v>0.77608801000000005</v>
      </c>
      <c r="M21" s="2"/>
      <c r="N21" s="2"/>
      <c r="O21" s="2"/>
      <c r="P21" s="2"/>
      <c r="Q21" s="2"/>
      <c r="R21" s="2"/>
      <c r="S21" s="2"/>
      <c r="V21" s="77"/>
      <c r="W21" s="77"/>
      <c r="X21" s="77"/>
      <c r="Y21" s="77"/>
      <c r="Z21" s="77"/>
      <c r="AA21" s="77"/>
      <c r="AB21" s="77"/>
      <c r="AC21" s="77"/>
      <c r="AD21" s="77"/>
      <c r="AF21" s="80"/>
      <c r="AG21" s="80"/>
      <c r="AH21" s="80"/>
      <c r="AI21" s="80"/>
      <c r="AJ21" s="80"/>
      <c r="AK21" s="80"/>
      <c r="AL21" s="80"/>
      <c r="AM21" s="80"/>
      <c r="AN21" s="80"/>
      <c r="AO21" s="80"/>
    </row>
    <row r="22" spans="1:41" x14ac:dyDescent="0.35">
      <c r="A22" s="47">
        <v>4</v>
      </c>
      <c r="B22" s="118">
        <v>46133</v>
      </c>
      <c r="C22" s="119">
        <v>1</v>
      </c>
      <c r="D22" s="119">
        <v>0.96914659000000003</v>
      </c>
      <c r="E22" s="119">
        <v>0.85865880999999999</v>
      </c>
      <c r="F22" s="119">
        <v>1.2023417999999999</v>
      </c>
      <c r="G22" s="119">
        <v>1.1852975800000001</v>
      </c>
      <c r="H22" s="119">
        <v>1.23885578</v>
      </c>
      <c r="I22" s="119">
        <v>0.97682588999999997</v>
      </c>
      <c r="J22" s="119">
        <v>0.90556716999999998</v>
      </c>
      <c r="K22" s="119">
        <v>0.84664139000000005</v>
      </c>
      <c r="L22" s="119">
        <v>0.74991468999999999</v>
      </c>
      <c r="M22" s="2"/>
      <c r="N22" s="2"/>
      <c r="O22" s="2"/>
      <c r="P22" s="2"/>
      <c r="Q22" s="2"/>
      <c r="R22" s="2"/>
      <c r="S22" s="2"/>
      <c r="V22" s="77"/>
      <c r="W22" s="77"/>
      <c r="X22" s="77"/>
      <c r="Y22" s="77"/>
      <c r="Z22" s="77"/>
      <c r="AA22" s="77"/>
      <c r="AB22" s="77"/>
      <c r="AC22" s="77"/>
      <c r="AD22" s="77"/>
      <c r="AF22" s="80"/>
      <c r="AG22" s="80"/>
      <c r="AH22" s="80"/>
      <c r="AI22" s="80"/>
      <c r="AJ22" s="80"/>
      <c r="AK22" s="80"/>
      <c r="AL22" s="80"/>
      <c r="AM22" s="80"/>
      <c r="AN22" s="80"/>
      <c r="AO22" s="80"/>
    </row>
    <row r="23" spans="1:41" x14ac:dyDescent="0.35">
      <c r="A23" s="47">
        <v>4</v>
      </c>
      <c r="B23" s="118">
        <v>46134</v>
      </c>
      <c r="C23" s="119">
        <v>1</v>
      </c>
      <c r="D23" s="119">
        <v>0.96001681000000005</v>
      </c>
      <c r="E23" s="119">
        <v>0.84042159999999999</v>
      </c>
      <c r="F23" s="119">
        <v>1.20330599</v>
      </c>
      <c r="G23" s="119">
        <v>1.18362843</v>
      </c>
      <c r="H23" s="119">
        <v>1.2327039</v>
      </c>
      <c r="I23" s="119">
        <v>0.96351827000000001</v>
      </c>
      <c r="J23" s="119">
        <v>0.88848989</v>
      </c>
      <c r="K23" s="119">
        <v>0.82550533000000004</v>
      </c>
      <c r="L23" s="119">
        <v>0.72607642999999999</v>
      </c>
      <c r="M23" s="2"/>
      <c r="N23" s="2"/>
      <c r="O23" s="2"/>
      <c r="P23" s="2"/>
      <c r="Q23" s="2"/>
      <c r="R23" s="2"/>
      <c r="S23" s="2"/>
      <c r="V23" s="77"/>
      <c r="W23" s="77"/>
      <c r="X23" s="77"/>
      <c r="Y23" s="77"/>
      <c r="Z23" s="77"/>
      <c r="AA23" s="77"/>
      <c r="AB23" s="77"/>
      <c r="AC23" s="77"/>
      <c r="AD23" s="77"/>
      <c r="AF23" s="80"/>
      <c r="AG23" s="80"/>
      <c r="AH23" s="80"/>
      <c r="AI23" s="80"/>
      <c r="AJ23" s="80"/>
      <c r="AK23" s="80"/>
      <c r="AL23" s="80"/>
      <c r="AM23" s="80"/>
      <c r="AN23" s="80"/>
      <c r="AO23" s="80"/>
    </row>
    <row r="24" spans="1:41" x14ac:dyDescent="0.35">
      <c r="A24" s="47">
        <v>4</v>
      </c>
      <c r="B24" s="118">
        <v>46135</v>
      </c>
      <c r="C24" s="119">
        <v>1</v>
      </c>
      <c r="D24" s="119">
        <v>0.95031297000000003</v>
      </c>
      <c r="E24" s="119">
        <v>0.82051355999999998</v>
      </c>
      <c r="F24" s="119">
        <v>1.2042701899999999</v>
      </c>
      <c r="G24" s="119">
        <v>1.18195929</v>
      </c>
      <c r="H24" s="119">
        <v>1.22645618</v>
      </c>
      <c r="I24" s="119">
        <v>0.94913915000000004</v>
      </c>
      <c r="J24" s="119">
        <v>0.86989972999999998</v>
      </c>
      <c r="K24" s="119">
        <v>0.80236602000000001</v>
      </c>
      <c r="L24" s="119">
        <v>0.69989849000000004</v>
      </c>
      <c r="M24" s="2"/>
      <c r="N24" s="2"/>
      <c r="O24" s="2"/>
      <c r="P24" s="2"/>
      <c r="Q24" s="2"/>
      <c r="R24" s="2"/>
      <c r="S24" s="2"/>
      <c r="V24" s="77"/>
      <c r="W24" s="77"/>
      <c r="X24" s="77"/>
      <c r="Y24" s="77"/>
      <c r="Z24" s="77"/>
      <c r="AA24" s="77"/>
      <c r="AB24" s="77"/>
      <c r="AC24" s="77"/>
      <c r="AD24" s="77"/>
      <c r="AF24" s="80"/>
      <c r="AG24" s="80"/>
      <c r="AH24" s="80"/>
      <c r="AI24" s="80"/>
      <c r="AJ24" s="80"/>
      <c r="AK24" s="80"/>
      <c r="AL24" s="80"/>
      <c r="AM24" s="80"/>
      <c r="AN24" s="80"/>
      <c r="AO24" s="80"/>
    </row>
    <row r="25" spans="1:41" x14ac:dyDescent="0.35">
      <c r="A25" s="47">
        <v>4</v>
      </c>
      <c r="B25" s="118">
        <v>46136</v>
      </c>
      <c r="C25" s="119">
        <v>1</v>
      </c>
      <c r="D25" s="119">
        <v>0.94059327000000004</v>
      </c>
      <c r="E25" s="119">
        <v>0.80059835999999995</v>
      </c>
      <c r="F25" s="119">
        <v>1.20523438</v>
      </c>
      <c r="G25" s="119">
        <v>1.1802901400000001</v>
      </c>
      <c r="H25" s="119">
        <v>1.2201841499999999</v>
      </c>
      <c r="I25" s="119">
        <v>0.93474789999999996</v>
      </c>
      <c r="J25" s="119">
        <v>0.85130044999999999</v>
      </c>
      <c r="K25" s="119">
        <v>0.77922155000000004</v>
      </c>
      <c r="L25" s="119">
        <v>0.67371848000000001</v>
      </c>
      <c r="M25" s="2"/>
      <c r="N25" s="2"/>
      <c r="O25" s="2"/>
      <c r="P25" s="2"/>
      <c r="Q25" s="2"/>
      <c r="R25" s="2"/>
      <c r="S25" s="2"/>
      <c r="V25" s="77"/>
      <c r="W25" s="77"/>
      <c r="X25" s="77"/>
      <c r="Y25" s="77"/>
      <c r="Z25" s="77"/>
      <c r="AA25" s="77"/>
      <c r="AB25" s="77"/>
      <c r="AC25" s="77"/>
      <c r="AD25" s="77"/>
      <c r="AF25" s="80"/>
      <c r="AG25" s="80"/>
      <c r="AH25" s="80"/>
      <c r="AI25" s="80"/>
      <c r="AJ25" s="80"/>
      <c r="AK25" s="80"/>
      <c r="AL25" s="80"/>
      <c r="AM25" s="80"/>
      <c r="AN25" s="80"/>
      <c r="AO25" s="80"/>
    </row>
    <row r="26" spans="1:41" x14ac:dyDescent="0.35">
      <c r="A26" s="47">
        <v>4</v>
      </c>
      <c r="B26" s="118">
        <v>46137</v>
      </c>
      <c r="C26" s="119">
        <v>0</v>
      </c>
      <c r="D26" s="119">
        <v>0.96488368000000002</v>
      </c>
      <c r="E26" s="119">
        <v>0.73681587000000004</v>
      </c>
      <c r="F26" s="119">
        <v>0.44104391999999998</v>
      </c>
      <c r="G26" s="119">
        <v>0.67854658000000001</v>
      </c>
      <c r="H26" s="119">
        <v>0.73338163999999995</v>
      </c>
      <c r="I26" s="119">
        <v>0.81993121999999996</v>
      </c>
      <c r="J26" s="119">
        <v>0.74402789000000003</v>
      </c>
      <c r="K26" s="119">
        <v>0.62569322000000005</v>
      </c>
      <c r="L26" s="119">
        <v>0.53280433999999999</v>
      </c>
      <c r="M26" s="2"/>
      <c r="N26" s="2"/>
      <c r="O26" s="2"/>
      <c r="P26" s="2"/>
      <c r="Q26" s="2"/>
      <c r="R26" s="2"/>
      <c r="S26" s="2"/>
      <c r="V26" s="77"/>
      <c r="W26" s="77"/>
      <c r="X26" s="77"/>
      <c r="Y26" s="77"/>
      <c r="Z26" s="77"/>
      <c r="AA26" s="77"/>
      <c r="AB26" s="77"/>
      <c r="AC26" s="77"/>
      <c r="AD26" s="77"/>
      <c r="AF26" s="80"/>
      <c r="AG26" s="80"/>
      <c r="AH26" s="80"/>
      <c r="AI26" s="80"/>
      <c r="AJ26" s="80"/>
      <c r="AK26" s="80"/>
      <c r="AL26" s="80"/>
      <c r="AM26" s="80"/>
      <c r="AN26" s="80"/>
      <c r="AO26" s="80"/>
    </row>
    <row r="27" spans="1:41" x14ac:dyDescent="0.35">
      <c r="A27" s="47">
        <v>4</v>
      </c>
      <c r="B27" s="118">
        <v>46138</v>
      </c>
      <c r="C27" s="119">
        <v>0</v>
      </c>
      <c r="D27" s="119">
        <v>0.95494491999999997</v>
      </c>
      <c r="E27" s="119">
        <v>0.71859684999999995</v>
      </c>
      <c r="F27" s="119">
        <v>0.44273783</v>
      </c>
      <c r="G27" s="119">
        <v>0.67772460000000001</v>
      </c>
      <c r="H27" s="119">
        <v>0.72858237000000003</v>
      </c>
      <c r="I27" s="119">
        <v>0.80703203999999995</v>
      </c>
      <c r="J27" s="119">
        <v>0.72748126000000002</v>
      </c>
      <c r="K27" s="119">
        <v>0.60624356000000001</v>
      </c>
      <c r="L27" s="119">
        <v>0.51088062999999995</v>
      </c>
      <c r="M27" s="2"/>
      <c r="N27" s="2"/>
      <c r="O27" s="2"/>
      <c r="P27" s="2"/>
      <c r="Q27" s="2"/>
      <c r="R27" s="2"/>
      <c r="S27" s="2"/>
      <c r="V27" s="77"/>
      <c r="W27" s="77"/>
      <c r="X27" s="77"/>
      <c r="Y27" s="77"/>
      <c r="Z27" s="77"/>
      <c r="AA27" s="77"/>
      <c r="AB27" s="77"/>
      <c r="AC27" s="77"/>
      <c r="AD27" s="77"/>
      <c r="AF27" s="80"/>
      <c r="AG27" s="80"/>
      <c r="AH27" s="80"/>
      <c r="AI27" s="80"/>
      <c r="AJ27" s="80"/>
      <c r="AK27" s="80"/>
      <c r="AL27" s="80"/>
      <c r="AM27" s="80"/>
      <c r="AN27" s="80"/>
      <c r="AO27" s="80"/>
    </row>
    <row r="28" spans="1:41" x14ac:dyDescent="0.35">
      <c r="A28" s="47">
        <v>4</v>
      </c>
      <c r="B28" s="118">
        <v>46139</v>
      </c>
      <c r="C28" s="119">
        <v>1</v>
      </c>
      <c r="D28" s="119">
        <v>0.91190837999999996</v>
      </c>
      <c r="E28" s="119">
        <v>0.74247854999999996</v>
      </c>
      <c r="F28" s="119">
        <v>1.2081269699999999</v>
      </c>
      <c r="G28" s="119">
        <v>1.1752827100000001</v>
      </c>
      <c r="H28" s="119">
        <v>1.2013109099999999</v>
      </c>
      <c r="I28" s="119">
        <v>0.89256924999999998</v>
      </c>
      <c r="J28" s="119">
        <v>0.79695808000000001</v>
      </c>
      <c r="K28" s="119">
        <v>0.71175885000000005</v>
      </c>
      <c r="L28" s="119">
        <v>0.59750513000000005</v>
      </c>
      <c r="M28" s="2"/>
      <c r="N28" s="2"/>
      <c r="O28" s="2"/>
      <c r="P28" s="2"/>
      <c r="Q28" s="2"/>
      <c r="R28" s="2"/>
      <c r="S28" s="2"/>
      <c r="V28" s="77"/>
      <c r="W28" s="77"/>
      <c r="X28" s="77"/>
      <c r="Y28" s="77"/>
      <c r="Z28" s="77"/>
      <c r="AA28" s="77"/>
      <c r="AB28" s="77"/>
      <c r="AC28" s="77"/>
      <c r="AD28" s="77"/>
      <c r="AF28" s="80"/>
      <c r="AG28" s="80"/>
      <c r="AH28" s="80"/>
      <c r="AI28" s="80"/>
      <c r="AJ28" s="80"/>
      <c r="AK28" s="80"/>
      <c r="AL28" s="80"/>
      <c r="AM28" s="80"/>
      <c r="AN28" s="80"/>
      <c r="AO28" s="80"/>
    </row>
    <row r="29" spans="1:41" x14ac:dyDescent="0.35">
      <c r="A29" s="47">
        <v>4</v>
      </c>
      <c r="B29" s="118">
        <v>46140</v>
      </c>
      <c r="C29" s="119">
        <v>1</v>
      </c>
      <c r="D29" s="119">
        <v>0.90269454000000005</v>
      </c>
      <c r="E29" s="119">
        <v>0.72420342000000004</v>
      </c>
      <c r="F29" s="119">
        <v>1.20909117</v>
      </c>
      <c r="G29" s="119">
        <v>1.1736135599999999</v>
      </c>
      <c r="H29" s="119">
        <v>1.1950302399999999</v>
      </c>
      <c r="I29" s="119">
        <v>0.87919733</v>
      </c>
      <c r="J29" s="119">
        <v>0.77983248999999999</v>
      </c>
      <c r="K29" s="119">
        <v>0.69059541000000002</v>
      </c>
      <c r="L29" s="119">
        <v>0.57365591999999999</v>
      </c>
      <c r="M29" s="2"/>
      <c r="N29" s="2"/>
      <c r="O29" s="2"/>
      <c r="P29" s="2"/>
      <c r="Q29" s="2"/>
      <c r="R29" s="2"/>
      <c r="S29" s="2"/>
      <c r="V29" s="77"/>
      <c r="W29" s="77"/>
      <c r="X29" s="77"/>
      <c r="Y29" s="77"/>
      <c r="Z29" s="77"/>
      <c r="AA29" s="77"/>
      <c r="AB29" s="77"/>
      <c r="AC29" s="77"/>
      <c r="AD29" s="77"/>
      <c r="AF29" s="80"/>
      <c r="AG29" s="80"/>
      <c r="AH29" s="80"/>
      <c r="AI29" s="80"/>
      <c r="AJ29" s="80"/>
      <c r="AK29" s="80"/>
      <c r="AL29" s="80"/>
      <c r="AM29" s="80"/>
      <c r="AN29" s="80"/>
      <c r="AO29" s="80"/>
    </row>
    <row r="30" spans="1:41" x14ac:dyDescent="0.35">
      <c r="A30" s="47">
        <v>4</v>
      </c>
      <c r="B30" s="118">
        <v>46141</v>
      </c>
      <c r="C30" s="119">
        <v>1</v>
      </c>
      <c r="D30" s="119">
        <v>0.89347096999999998</v>
      </c>
      <c r="E30" s="119">
        <v>0.70592390000000005</v>
      </c>
      <c r="F30" s="119">
        <v>1.2100553599999999</v>
      </c>
      <c r="G30" s="119">
        <v>1.17194442</v>
      </c>
      <c r="H30" s="119">
        <v>1.1887346400000001</v>
      </c>
      <c r="I30" s="119">
        <v>0.86581797000000005</v>
      </c>
      <c r="J30" s="119">
        <v>0.76270130000000003</v>
      </c>
      <c r="K30" s="119">
        <v>0.66942880000000005</v>
      </c>
      <c r="L30" s="119">
        <v>0.54980543999999998</v>
      </c>
      <c r="M30" s="2"/>
      <c r="N30" s="2"/>
      <c r="O30" s="2"/>
      <c r="P30" s="2"/>
      <c r="Q30" s="2"/>
      <c r="R30" s="2"/>
      <c r="S30" s="2"/>
      <c r="V30" s="77"/>
      <c r="W30" s="77"/>
      <c r="X30" s="77"/>
      <c r="Y30" s="77"/>
      <c r="Z30" s="77"/>
      <c r="AA30" s="77"/>
      <c r="AB30" s="77"/>
      <c r="AC30" s="77"/>
      <c r="AD30" s="77"/>
      <c r="AF30" s="80"/>
      <c r="AG30" s="80"/>
      <c r="AH30" s="80"/>
      <c r="AI30" s="80"/>
      <c r="AJ30" s="80"/>
      <c r="AK30" s="80"/>
      <c r="AL30" s="80"/>
      <c r="AM30" s="80"/>
      <c r="AN30" s="80"/>
      <c r="AO30" s="80"/>
    </row>
    <row r="31" spans="1:41" x14ac:dyDescent="0.35">
      <c r="A31" s="47">
        <v>4</v>
      </c>
      <c r="B31" s="118">
        <v>46142</v>
      </c>
      <c r="C31" s="119">
        <v>1</v>
      </c>
      <c r="D31" s="119">
        <v>0.88368190999999996</v>
      </c>
      <c r="E31" s="119">
        <v>0.68597741000000001</v>
      </c>
      <c r="F31" s="119">
        <v>1.21101956</v>
      </c>
      <c r="G31" s="119">
        <v>1.17027528</v>
      </c>
      <c r="H31" s="119">
        <v>1.18235632</v>
      </c>
      <c r="I31" s="119">
        <v>0.85137364999999998</v>
      </c>
      <c r="J31" s="119">
        <v>0.74406214000000004</v>
      </c>
      <c r="K31" s="119">
        <v>0.64626174000000003</v>
      </c>
      <c r="L31" s="119">
        <v>0.52361639999999998</v>
      </c>
      <c r="M31" s="2"/>
      <c r="N31" s="2"/>
      <c r="O31" s="2"/>
      <c r="P31" s="2"/>
      <c r="Q31" s="2"/>
      <c r="R31" s="2"/>
      <c r="S31" s="2"/>
      <c r="V31" s="77"/>
      <c r="W31" s="77"/>
      <c r="X31" s="77"/>
      <c r="Y31" s="77"/>
      <c r="Z31" s="77"/>
      <c r="AA31" s="77"/>
      <c r="AB31" s="77"/>
      <c r="AC31" s="77"/>
      <c r="AD31" s="77"/>
      <c r="AF31" s="80"/>
      <c r="AG31" s="80"/>
      <c r="AH31" s="80"/>
      <c r="AI31" s="80"/>
      <c r="AJ31" s="80"/>
      <c r="AK31" s="80"/>
      <c r="AL31" s="80"/>
      <c r="AM31" s="80"/>
      <c r="AN31" s="80"/>
      <c r="AO31" s="80"/>
    </row>
    <row r="32" spans="1:41" x14ac:dyDescent="0.35">
      <c r="A32" s="47">
        <v>5</v>
      </c>
      <c r="B32" s="118">
        <v>46143</v>
      </c>
      <c r="C32" s="119">
        <v>0</v>
      </c>
      <c r="D32" s="119">
        <v>0.90378862000000004</v>
      </c>
      <c r="E32" s="119">
        <v>0.62408375999999999</v>
      </c>
      <c r="F32" s="119">
        <v>0.45120735000000001</v>
      </c>
      <c r="G32" s="119">
        <v>0.67361470000000001</v>
      </c>
      <c r="H32" s="119">
        <v>0.70402421999999998</v>
      </c>
      <c r="I32" s="119">
        <v>0.74028684</v>
      </c>
      <c r="J32" s="119">
        <v>0.64173495999999997</v>
      </c>
      <c r="K32" s="119">
        <v>0.50528339</v>
      </c>
      <c r="L32" s="119">
        <v>0.39695329000000001</v>
      </c>
      <c r="M32" s="2"/>
      <c r="N32" s="2"/>
      <c r="O32" s="2"/>
      <c r="P32" s="2"/>
      <c r="Q32" s="2"/>
      <c r="R32" s="2"/>
      <c r="S32" s="2"/>
      <c r="V32" s="77"/>
      <c r="W32" s="77"/>
      <c r="X32" s="77"/>
      <c r="Y32" s="77"/>
      <c r="Z32" s="77"/>
      <c r="AA32" s="77"/>
      <c r="AB32" s="77"/>
      <c r="AC32" s="77"/>
      <c r="AD32" s="77"/>
      <c r="AF32" s="80"/>
      <c r="AG32" s="80"/>
      <c r="AH32" s="80"/>
      <c r="AI32" s="80"/>
      <c r="AJ32" s="80"/>
      <c r="AK32" s="80"/>
      <c r="AL32" s="80"/>
      <c r="AM32" s="80"/>
      <c r="AN32" s="80"/>
      <c r="AO32" s="80"/>
    </row>
    <row r="33" spans="1:41" x14ac:dyDescent="0.35">
      <c r="A33" s="47">
        <v>5</v>
      </c>
      <c r="B33" s="118">
        <v>46144</v>
      </c>
      <c r="C33" s="119">
        <v>0</v>
      </c>
      <c r="D33" s="119">
        <v>0.89314097999999997</v>
      </c>
      <c r="E33" s="119">
        <v>0.60416537999999997</v>
      </c>
      <c r="F33" s="119">
        <v>0.45290126000000003</v>
      </c>
      <c r="G33" s="119">
        <v>0.67279272000000001</v>
      </c>
      <c r="H33" s="119">
        <v>0.69896100999999999</v>
      </c>
      <c r="I33" s="119">
        <v>0.72627708000000002</v>
      </c>
      <c r="J33" s="119">
        <v>0.62369436</v>
      </c>
      <c r="K33" s="119">
        <v>0.48398539000000002</v>
      </c>
      <c r="L33" s="119">
        <v>0.37287842999999998</v>
      </c>
      <c r="M33" s="2"/>
      <c r="N33" s="2"/>
      <c r="O33" s="2"/>
      <c r="P33" s="2"/>
      <c r="Q33" s="2"/>
      <c r="R33" s="2"/>
      <c r="S33" s="2"/>
      <c r="V33" s="77"/>
      <c r="W33" s="77"/>
      <c r="X33" s="77"/>
      <c r="Y33" s="77"/>
      <c r="Z33" s="77"/>
      <c r="AA33" s="77"/>
      <c r="AB33" s="77"/>
      <c r="AC33" s="77"/>
      <c r="AD33" s="77"/>
      <c r="AF33" s="80"/>
      <c r="AG33" s="80"/>
      <c r="AH33" s="80"/>
      <c r="AI33" s="80"/>
      <c r="AJ33" s="80"/>
      <c r="AK33" s="80"/>
      <c r="AL33" s="80"/>
      <c r="AM33" s="80"/>
      <c r="AN33" s="80"/>
      <c r="AO33" s="80"/>
    </row>
    <row r="34" spans="1:41" x14ac:dyDescent="0.35">
      <c r="A34" s="47">
        <v>5</v>
      </c>
      <c r="B34" s="118">
        <v>46145</v>
      </c>
      <c r="C34" s="119">
        <v>0</v>
      </c>
      <c r="D34" s="119">
        <v>0.88248863</v>
      </c>
      <c r="E34" s="119">
        <v>0.58424496999999997</v>
      </c>
      <c r="F34" s="119">
        <v>0.45459516</v>
      </c>
      <c r="G34" s="119">
        <v>0.67197074000000001</v>
      </c>
      <c r="H34" s="119">
        <v>0.69389422000000001</v>
      </c>
      <c r="I34" s="119">
        <v>0.71226434000000005</v>
      </c>
      <c r="J34" s="119">
        <v>0.60565108999999995</v>
      </c>
      <c r="K34" s="119">
        <v>0.46268578999999999</v>
      </c>
      <c r="L34" s="119">
        <v>0.34880288999999998</v>
      </c>
      <c r="M34" s="2"/>
      <c r="N34" s="2"/>
      <c r="O34" s="2"/>
      <c r="P34" s="2"/>
      <c r="Q34" s="2"/>
      <c r="R34" s="2"/>
      <c r="S34" s="2"/>
      <c r="V34" s="77"/>
      <c r="W34" s="77"/>
      <c r="X34" s="77"/>
      <c r="Y34" s="77"/>
      <c r="Z34" s="77"/>
      <c r="AA34" s="77"/>
      <c r="AB34" s="77"/>
      <c r="AC34" s="77"/>
      <c r="AD34" s="77"/>
      <c r="AF34" s="80"/>
      <c r="AG34" s="80"/>
      <c r="AH34" s="80"/>
      <c r="AI34" s="80"/>
      <c r="AJ34" s="80"/>
      <c r="AK34" s="80"/>
      <c r="AL34" s="80"/>
      <c r="AM34" s="80"/>
      <c r="AN34" s="80"/>
      <c r="AO34" s="80"/>
    </row>
    <row r="35" spans="1:41" x14ac:dyDescent="0.35">
      <c r="A35" s="47">
        <v>5</v>
      </c>
      <c r="B35" s="118">
        <v>46146</v>
      </c>
      <c r="C35" s="119">
        <v>1</v>
      </c>
      <c r="D35" s="119">
        <v>0.84557720000000003</v>
      </c>
      <c r="E35" s="119">
        <v>0.60948955000000005</v>
      </c>
      <c r="F35" s="119">
        <v>1.21487634</v>
      </c>
      <c r="G35" s="119">
        <v>1.1635987000000001</v>
      </c>
      <c r="H35" s="119">
        <v>1.15688678</v>
      </c>
      <c r="I35" s="119">
        <v>0.79566552999999995</v>
      </c>
      <c r="J35" s="119">
        <v>0.67247577000000003</v>
      </c>
      <c r="K35" s="119">
        <v>0.55756852999999995</v>
      </c>
      <c r="L35" s="119">
        <v>0.42352699999999999</v>
      </c>
      <c r="M35" s="2"/>
      <c r="N35" s="2"/>
      <c r="O35" s="2"/>
      <c r="P35" s="2"/>
      <c r="Q35" s="2"/>
      <c r="R35" s="2"/>
      <c r="S35" s="2"/>
      <c r="V35" s="77"/>
      <c r="W35" s="77"/>
      <c r="X35" s="77"/>
      <c r="Y35" s="77"/>
      <c r="Z35" s="77"/>
      <c r="AA35" s="77"/>
      <c r="AB35" s="77"/>
      <c r="AC35" s="77"/>
      <c r="AD35" s="77"/>
      <c r="AF35" s="80"/>
      <c r="AG35" s="80"/>
      <c r="AH35" s="80"/>
      <c r="AI35" s="80"/>
      <c r="AJ35" s="80"/>
      <c r="AK35" s="80"/>
      <c r="AL35" s="80"/>
      <c r="AM35" s="80"/>
      <c r="AN35" s="80"/>
      <c r="AO35" s="80"/>
    </row>
    <row r="36" spans="1:41" x14ac:dyDescent="0.35">
      <c r="A36" s="47">
        <v>5</v>
      </c>
      <c r="B36" s="118">
        <v>46147</v>
      </c>
      <c r="C36" s="119">
        <v>1</v>
      </c>
      <c r="D36" s="119">
        <v>0.83576262000000001</v>
      </c>
      <c r="E36" s="119">
        <v>0.58953155999999995</v>
      </c>
      <c r="F36" s="119">
        <v>1.2158405400000001</v>
      </c>
      <c r="G36" s="119">
        <v>1.16192955</v>
      </c>
      <c r="H36" s="119">
        <v>1.1504693800000001</v>
      </c>
      <c r="I36" s="119">
        <v>0.7812017</v>
      </c>
      <c r="J36" s="119">
        <v>0.65382194999999999</v>
      </c>
      <c r="K36" s="119">
        <v>0.53439316000000003</v>
      </c>
      <c r="L36" s="119">
        <v>0.39733463000000002</v>
      </c>
      <c r="M36" s="2"/>
      <c r="N36" s="2"/>
      <c r="O36" s="2"/>
      <c r="P36" s="2"/>
      <c r="Q36" s="2"/>
      <c r="R36" s="2"/>
      <c r="S36" s="2"/>
      <c r="V36" s="77"/>
      <c r="W36" s="77"/>
      <c r="X36" s="77"/>
      <c r="Y36" s="77"/>
      <c r="Z36" s="77"/>
      <c r="AA36" s="77"/>
      <c r="AB36" s="77"/>
      <c r="AC36" s="77"/>
      <c r="AD36" s="77"/>
      <c r="AF36" s="80"/>
      <c r="AG36" s="80"/>
      <c r="AH36" s="80"/>
      <c r="AI36" s="80"/>
      <c r="AJ36" s="80"/>
      <c r="AK36" s="80"/>
      <c r="AL36" s="80"/>
      <c r="AM36" s="80"/>
      <c r="AN36" s="80"/>
      <c r="AO36" s="80"/>
    </row>
    <row r="37" spans="1:41" x14ac:dyDescent="0.35">
      <c r="A37" s="47">
        <v>5</v>
      </c>
      <c r="B37" s="118">
        <v>46148</v>
      </c>
      <c r="C37" s="119">
        <v>1</v>
      </c>
      <c r="D37" s="119">
        <v>0.82650323000000003</v>
      </c>
      <c r="E37" s="119">
        <v>0.57123586999999998</v>
      </c>
      <c r="F37" s="119">
        <v>1.21680473</v>
      </c>
      <c r="G37" s="119">
        <v>1.16026041</v>
      </c>
      <c r="H37" s="119">
        <v>1.1441188900000001</v>
      </c>
      <c r="I37" s="119">
        <v>0.76779492999999999</v>
      </c>
      <c r="J37" s="119">
        <v>0.63667015999999998</v>
      </c>
      <c r="K37" s="119">
        <v>0.51321488000000004</v>
      </c>
      <c r="L37" s="119">
        <v>0.37347947999999997</v>
      </c>
      <c r="M37" s="2"/>
      <c r="N37" s="2"/>
      <c r="O37" s="2"/>
      <c r="P37" s="2"/>
      <c r="Q37" s="2"/>
      <c r="R37" s="2"/>
      <c r="S37" s="2"/>
      <c r="V37" s="77"/>
      <c r="W37" s="77"/>
      <c r="X37" s="77"/>
      <c r="Y37" s="77"/>
      <c r="Z37" s="77"/>
      <c r="AA37" s="77"/>
      <c r="AB37" s="77"/>
      <c r="AC37" s="77"/>
      <c r="AD37" s="77"/>
      <c r="AF37" s="80"/>
      <c r="AG37" s="80"/>
      <c r="AH37" s="80"/>
      <c r="AI37" s="80"/>
      <c r="AJ37" s="80"/>
      <c r="AK37" s="80"/>
      <c r="AL37" s="80"/>
      <c r="AM37" s="80"/>
      <c r="AN37" s="80"/>
      <c r="AO37" s="80"/>
    </row>
    <row r="38" spans="1:41" x14ac:dyDescent="0.35">
      <c r="A38" s="47">
        <v>5</v>
      </c>
      <c r="B38" s="118">
        <v>46149</v>
      </c>
      <c r="C38" s="119">
        <v>1</v>
      </c>
      <c r="D38" s="119">
        <v>0.81724313999999998</v>
      </c>
      <c r="E38" s="119">
        <v>0.55293988000000005</v>
      </c>
      <c r="F38" s="119">
        <v>1.2177689300000001</v>
      </c>
      <c r="G38" s="119">
        <v>1.1585912599999999</v>
      </c>
      <c r="H38" s="119">
        <v>1.1377673399999999</v>
      </c>
      <c r="I38" s="119">
        <v>0.75438762999999998</v>
      </c>
      <c r="J38" s="119">
        <v>0.61951796999999997</v>
      </c>
      <c r="K38" s="119">
        <v>0.49203638</v>
      </c>
      <c r="L38" s="119">
        <v>0.34962423999999998</v>
      </c>
      <c r="M38" s="2"/>
      <c r="N38" s="2"/>
      <c r="O38" s="2"/>
      <c r="P38" s="2"/>
      <c r="Q38" s="2"/>
      <c r="R38" s="2"/>
      <c r="S38" s="2"/>
      <c r="V38" s="77"/>
      <c r="W38" s="77"/>
      <c r="X38" s="77"/>
      <c r="Y38" s="77"/>
      <c r="Z38" s="77"/>
      <c r="AA38" s="77"/>
      <c r="AB38" s="77"/>
      <c r="AC38" s="77"/>
      <c r="AD38" s="77"/>
      <c r="AF38" s="80"/>
      <c r="AG38" s="80"/>
      <c r="AH38" s="80"/>
      <c r="AI38" s="80"/>
      <c r="AJ38" s="80"/>
      <c r="AK38" s="80"/>
      <c r="AL38" s="80"/>
      <c r="AM38" s="80"/>
      <c r="AN38" s="80"/>
      <c r="AO38" s="80"/>
    </row>
    <row r="39" spans="1:41" x14ac:dyDescent="0.35">
      <c r="A39" s="47">
        <v>5</v>
      </c>
      <c r="B39" s="118">
        <v>46150</v>
      </c>
      <c r="C39" s="119">
        <v>0</v>
      </c>
      <c r="D39" s="119">
        <v>0.83116559999999995</v>
      </c>
      <c r="E39" s="119">
        <v>0.48966019</v>
      </c>
      <c r="F39" s="119">
        <v>0.46306469</v>
      </c>
      <c r="G39" s="119">
        <v>0.66786084000000001</v>
      </c>
      <c r="H39" s="119">
        <v>0.66920972999999995</v>
      </c>
      <c r="I39" s="119">
        <v>0.64541422999999998</v>
      </c>
      <c r="J39" s="119">
        <v>0.51981078999999997</v>
      </c>
      <c r="K39" s="119">
        <v>0.36166909000000003</v>
      </c>
      <c r="L39" s="119">
        <v>0.23485143999999999</v>
      </c>
      <c r="M39" s="2"/>
      <c r="N39" s="2"/>
      <c r="O39" s="2"/>
      <c r="P39" s="2"/>
      <c r="Q39" s="2"/>
      <c r="R39" s="2"/>
      <c r="S39" s="2"/>
      <c r="V39" s="77"/>
      <c r="W39" s="77"/>
      <c r="X39" s="77"/>
      <c r="Y39" s="77"/>
      <c r="Z39" s="77"/>
      <c r="AA39" s="77"/>
      <c r="AB39" s="77"/>
      <c r="AC39" s="77"/>
      <c r="AD39" s="77"/>
      <c r="AF39" s="80"/>
      <c r="AG39" s="80"/>
      <c r="AH39" s="80"/>
      <c r="AI39" s="80"/>
      <c r="AJ39" s="80"/>
      <c r="AK39" s="80"/>
      <c r="AL39" s="80"/>
      <c r="AM39" s="80"/>
      <c r="AN39" s="80"/>
      <c r="AO39" s="80"/>
    </row>
    <row r="40" spans="1:41" x14ac:dyDescent="0.35">
      <c r="A40" s="47">
        <v>5</v>
      </c>
      <c r="B40" s="118">
        <v>46151</v>
      </c>
      <c r="C40" s="119">
        <v>0</v>
      </c>
      <c r="D40" s="119">
        <v>0.82116414000000004</v>
      </c>
      <c r="E40" s="119">
        <v>0.47141419000000001</v>
      </c>
      <c r="F40" s="119">
        <v>0.46475859000000003</v>
      </c>
      <c r="G40" s="119">
        <v>0.66703886000000001</v>
      </c>
      <c r="H40" s="119">
        <v>0.66436293000000002</v>
      </c>
      <c r="I40" s="119">
        <v>0.63247560000000003</v>
      </c>
      <c r="J40" s="119">
        <v>0.50322880999999997</v>
      </c>
      <c r="K40" s="119">
        <v>0.34219817000000002</v>
      </c>
      <c r="L40" s="119">
        <v>0.21291864999999999</v>
      </c>
      <c r="M40" s="2"/>
      <c r="N40" s="2"/>
      <c r="O40" s="2"/>
      <c r="P40" s="2"/>
      <c r="Q40" s="2"/>
      <c r="R40" s="2"/>
      <c r="S40" s="2"/>
      <c r="V40" s="77"/>
      <c r="W40" s="77"/>
      <c r="X40" s="77"/>
      <c r="Y40" s="77"/>
      <c r="Z40" s="77"/>
      <c r="AA40" s="77"/>
      <c r="AB40" s="77"/>
      <c r="AC40" s="77"/>
      <c r="AD40" s="77"/>
      <c r="AF40" s="80"/>
      <c r="AG40" s="80"/>
      <c r="AH40" s="80"/>
      <c r="AI40" s="80"/>
      <c r="AJ40" s="80"/>
      <c r="AK40" s="80"/>
      <c r="AL40" s="80"/>
      <c r="AM40" s="80"/>
      <c r="AN40" s="80"/>
      <c r="AO40" s="80"/>
    </row>
    <row r="41" spans="1:41" x14ac:dyDescent="0.35">
      <c r="A41" s="47">
        <v>5</v>
      </c>
      <c r="B41" s="118">
        <v>46152</v>
      </c>
      <c r="C41" s="119">
        <v>0</v>
      </c>
      <c r="D41" s="119">
        <v>0.81050703999999996</v>
      </c>
      <c r="E41" s="119">
        <v>0.45149175000000003</v>
      </c>
      <c r="F41" s="119">
        <v>0.46645249999999999</v>
      </c>
      <c r="G41" s="119">
        <v>0.66621688000000001</v>
      </c>
      <c r="H41" s="119">
        <v>0.65929256000000003</v>
      </c>
      <c r="I41" s="119">
        <v>0.61845989000000001</v>
      </c>
      <c r="J41" s="119">
        <v>0.48518286999999999</v>
      </c>
      <c r="K41" s="119">
        <v>0.32089696000000001</v>
      </c>
      <c r="L41" s="119">
        <v>0.18884242000000001</v>
      </c>
      <c r="M41" s="2"/>
      <c r="N41" s="2"/>
      <c r="O41" s="2"/>
      <c r="P41" s="2"/>
      <c r="Q41" s="2"/>
      <c r="R41" s="2"/>
      <c r="S41" s="2"/>
      <c r="V41" s="77"/>
      <c r="W41" s="77"/>
      <c r="X41" s="77"/>
      <c r="Y41" s="77"/>
      <c r="Z41" s="77"/>
      <c r="AA41" s="77"/>
      <c r="AB41" s="77"/>
      <c r="AC41" s="77"/>
      <c r="AD41" s="77"/>
      <c r="AF41" s="80"/>
      <c r="AG41" s="80"/>
      <c r="AH41" s="80"/>
      <c r="AI41" s="80"/>
      <c r="AJ41" s="80"/>
      <c r="AK41" s="80"/>
      <c r="AL41" s="80"/>
      <c r="AM41" s="80"/>
      <c r="AN41" s="80"/>
      <c r="AO41" s="80"/>
    </row>
    <row r="42" spans="1:41" x14ac:dyDescent="0.35">
      <c r="A42" s="47">
        <v>5</v>
      </c>
      <c r="B42" s="118">
        <v>46153</v>
      </c>
      <c r="C42" s="119">
        <v>1</v>
      </c>
      <c r="D42" s="119">
        <v>0.79035741000000004</v>
      </c>
      <c r="E42" s="119">
        <v>0.47477281999999998</v>
      </c>
      <c r="F42" s="119">
        <v>1.2216257100000001</v>
      </c>
      <c r="G42" s="119">
        <v>1.15191468</v>
      </c>
      <c r="H42" s="119">
        <v>1.11217353</v>
      </c>
      <c r="I42" s="119">
        <v>0.69759382000000003</v>
      </c>
      <c r="J42" s="119">
        <v>0.54640805000000003</v>
      </c>
      <c r="K42" s="119">
        <v>0.40133389000000003</v>
      </c>
      <c r="L42" s="119">
        <v>0.24719276000000001</v>
      </c>
      <c r="M42" s="2"/>
      <c r="N42" s="2"/>
      <c r="O42" s="2"/>
      <c r="P42" s="2"/>
      <c r="Q42" s="2"/>
      <c r="R42" s="2"/>
      <c r="S42" s="2"/>
      <c r="V42" s="77"/>
      <c r="W42" s="77"/>
      <c r="X42" s="77"/>
      <c r="Y42" s="77"/>
      <c r="Z42" s="77"/>
      <c r="AA42" s="77"/>
      <c r="AB42" s="77"/>
      <c r="AC42" s="77"/>
      <c r="AD42" s="77"/>
      <c r="AF42" s="80"/>
      <c r="AG42" s="80"/>
      <c r="AH42" s="80"/>
      <c r="AI42" s="80"/>
      <c r="AJ42" s="80"/>
      <c r="AK42" s="80"/>
      <c r="AL42" s="80"/>
      <c r="AM42" s="80"/>
      <c r="AN42" s="80"/>
      <c r="AO42" s="80"/>
    </row>
    <row r="43" spans="1:41" x14ac:dyDescent="0.35">
      <c r="A43" s="47">
        <v>5</v>
      </c>
      <c r="B43" s="118">
        <v>46154</v>
      </c>
      <c r="C43" s="119">
        <v>1</v>
      </c>
      <c r="D43" s="119">
        <v>0.78667867999999996</v>
      </c>
      <c r="E43" s="119">
        <v>0.45481911000000003</v>
      </c>
      <c r="F43" s="119">
        <v>1.2225899099999999</v>
      </c>
      <c r="G43" s="119">
        <v>1.15024554</v>
      </c>
      <c r="H43" s="119">
        <v>1.1057706899999999</v>
      </c>
      <c r="I43" s="119">
        <v>0.68313725999999997</v>
      </c>
      <c r="J43" s="119">
        <v>0.52775969</v>
      </c>
      <c r="K43" s="119">
        <v>0.37816161999999998</v>
      </c>
      <c r="L43" s="119">
        <v>0.22100163</v>
      </c>
      <c r="M43" s="2"/>
      <c r="N43" s="2"/>
      <c r="O43" s="2"/>
      <c r="P43" s="2"/>
      <c r="Q43" s="2"/>
      <c r="R43" s="2"/>
      <c r="S43" s="2"/>
      <c r="V43" s="77"/>
      <c r="W43" s="77"/>
      <c r="X43" s="77"/>
      <c r="Y43" s="77"/>
      <c r="Z43" s="77"/>
      <c r="AA43" s="77"/>
      <c r="AB43" s="77"/>
      <c r="AC43" s="77"/>
      <c r="AD43" s="77"/>
      <c r="AF43" s="80"/>
      <c r="AG43" s="80"/>
      <c r="AH43" s="80"/>
      <c r="AI43" s="80"/>
      <c r="AJ43" s="80"/>
      <c r="AK43" s="80"/>
      <c r="AL43" s="80"/>
      <c r="AM43" s="80"/>
      <c r="AN43" s="80"/>
      <c r="AO43" s="80"/>
    </row>
    <row r="44" spans="1:41" x14ac:dyDescent="0.35">
      <c r="A44" s="47">
        <v>5</v>
      </c>
      <c r="B44" s="118">
        <v>46155</v>
      </c>
      <c r="C44" s="119">
        <v>1</v>
      </c>
      <c r="D44" s="119">
        <v>0.78300530999999995</v>
      </c>
      <c r="E44" s="119">
        <v>0.43653092999999998</v>
      </c>
      <c r="F44" s="119">
        <v>1.2235541000000001</v>
      </c>
      <c r="G44" s="119">
        <v>1.1485764000000001</v>
      </c>
      <c r="H44" s="119">
        <v>1.0994456699999999</v>
      </c>
      <c r="I44" s="119">
        <v>0.66974319999999998</v>
      </c>
      <c r="J44" s="119">
        <v>0.51061745999999997</v>
      </c>
      <c r="K44" s="119">
        <v>0.35698875000000002</v>
      </c>
      <c r="L44" s="119">
        <v>0.19714863999999999</v>
      </c>
      <c r="M44" s="2"/>
      <c r="N44" s="2"/>
      <c r="O44" s="2"/>
      <c r="P44" s="2"/>
      <c r="Q44" s="2"/>
      <c r="R44" s="2"/>
      <c r="S44" s="2"/>
      <c r="V44" s="77"/>
      <c r="W44" s="77"/>
      <c r="X44" s="77"/>
      <c r="Y44" s="77"/>
      <c r="Z44" s="77"/>
      <c r="AA44" s="77"/>
      <c r="AB44" s="77"/>
      <c r="AC44" s="77"/>
      <c r="AD44" s="77"/>
      <c r="AF44" s="80"/>
      <c r="AG44" s="80"/>
      <c r="AH44" s="80"/>
      <c r="AI44" s="80"/>
      <c r="AJ44" s="80"/>
      <c r="AK44" s="80"/>
      <c r="AL44" s="80"/>
      <c r="AM44" s="80"/>
      <c r="AN44" s="80"/>
      <c r="AO44" s="80"/>
    </row>
    <row r="45" spans="1:41" x14ac:dyDescent="0.35">
      <c r="A45" s="47">
        <v>5</v>
      </c>
      <c r="B45" s="118">
        <v>46156</v>
      </c>
      <c r="C45" s="119">
        <v>0</v>
      </c>
      <c r="D45" s="119">
        <v>0.79076422000000002</v>
      </c>
      <c r="E45" s="119">
        <v>0.37349684</v>
      </c>
      <c r="F45" s="119">
        <v>0.47322810999999998</v>
      </c>
      <c r="G45" s="119">
        <v>0.66292894999999996</v>
      </c>
      <c r="H45" s="119">
        <v>0.63926711000000003</v>
      </c>
      <c r="I45" s="119">
        <v>0.56350109000000004</v>
      </c>
      <c r="J45" s="119">
        <v>0.41448726000000002</v>
      </c>
      <c r="K45" s="119">
        <v>0.23753694</v>
      </c>
      <c r="L45" s="119">
        <v>9.4687160000000006E-2</v>
      </c>
      <c r="M45" s="2"/>
      <c r="N45" s="2"/>
      <c r="O45" s="2"/>
      <c r="P45" s="2"/>
      <c r="Q45" s="2"/>
      <c r="R45" s="2"/>
      <c r="S45" s="2"/>
      <c r="V45" s="77"/>
      <c r="W45" s="77"/>
      <c r="X45" s="77"/>
      <c r="Y45" s="77"/>
      <c r="Z45" s="77"/>
      <c r="AA45" s="77"/>
      <c r="AB45" s="77"/>
      <c r="AC45" s="77"/>
      <c r="AD45" s="77"/>
      <c r="AF45" s="80"/>
      <c r="AG45" s="80"/>
      <c r="AH45" s="80"/>
      <c r="AI45" s="80"/>
      <c r="AJ45" s="80"/>
      <c r="AK45" s="80"/>
      <c r="AL45" s="80"/>
      <c r="AM45" s="80"/>
      <c r="AN45" s="80"/>
      <c r="AO45" s="80"/>
    </row>
    <row r="46" spans="1:41" x14ac:dyDescent="0.35">
      <c r="A46" s="47">
        <v>5</v>
      </c>
      <c r="B46" s="118">
        <v>46157</v>
      </c>
      <c r="C46" s="119">
        <v>1</v>
      </c>
      <c r="D46" s="119">
        <v>0.77567834000000002</v>
      </c>
      <c r="E46" s="119">
        <v>0.39663725999999999</v>
      </c>
      <c r="F46" s="119">
        <v>1.2254825</v>
      </c>
      <c r="G46" s="119">
        <v>1.14523811</v>
      </c>
      <c r="H46" s="119">
        <v>1.0866867</v>
      </c>
      <c r="I46" s="119">
        <v>0.64085340999999996</v>
      </c>
      <c r="J46" s="119">
        <v>0.47333827000000001</v>
      </c>
      <c r="K46" s="119">
        <v>0.31065412999999997</v>
      </c>
      <c r="L46" s="119">
        <v>0.14477035999999999</v>
      </c>
      <c r="M46" s="2"/>
      <c r="N46" s="2"/>
      <c r="O46" s="2"/>
      <c r="P46" s="2"/>
      <c r="Q46" s="2"/>
      <c r="R46" s="2"/>
      <c r="S46" s="2"/>
      <c r="V46" s="77"/>
      <c r="W46" s="77"/>
      <c r="X46" s="77"/>
      <c r="Y46" s="77"/>
      <c r="Z46" s="77"/>
      <c r="AA46" s="77"/>
      <c r="AB46" s="77"/>
      <c r="AC46" s="77"/>
      <c r="AD46" s="77"/>
      <c r="AF46" s="80"/>
      <c r="AG46" s="80"/>
      <c r="AH46" s="80"/>
      <c r="AI46" s="80"/>
      <c r="AJ46" s="80"/>
      <c r="AK46" s="80"/>
      <c r="AL46" s="80"/>
      <c r="AM46" s="80"/>
      <c r="AN46" s="80"/>
      <c r="AO46" s="80"/>
    </row>
    <row r="47" spans="1:41" x14ac:dyDescent="0.35">
      <c r="A47" s="47">
        <v>5</v>
      </c>
      <c r="B47" s="118">
        <v>46158</v>
      </c>
      <c r="C47" s="119">
        <v>0</v>
      </c>
      <c r="D47" s="119">
        <v>0.78398000000000001</v>
      </c>
      <c r="E47" s="119">
        <v>0.33367645000000001</v>
      </c>
      <c r="F47" s="119">
        <v>0.47509507000000001</v>
      </c>
      <c r="G47" s="119">
        <v>0.66163035999999997</v>
      </c>
      <c r="H47" s="119">
        <v>0.62916952999999998</v>
      </c>
      <c r="I47" s="119">
        <v>0.53550551000000002</v>
      </c>
      <c r="J47" s="119">
        <v>0.37842751000000002</v>
      </c>
      <c r="K47" s="119">
        <v>0.19495383999999999</v>
      </c>
      <c r="L47" s="119">
        <v>5.107693E-2</v>
      </c>
      <c r="M47" s="2"/>
      <c r="N47" s="2"/>
      <c r="O47" s="2"/>
      <c r="P47" s="2"/>
      <c r="Q47" s="2"/>
      <c r="R47" s="2"/>
      <c r="S47" s="2"/>
      <c r="V47" s="77"/>
      <c r="W47" s="77"/>
      <c r="X47" s="77"/>
      <c r="Y47" s="77"/>
      <c r="Z47" s="77"/>
      <c r="AA47" s="77"/>
      <c r="AB47" s="77"/>
      <c r="AC47" s="77"/>
      <c r="AD47" s="77"/>
      <c r="AF47" s="80"/>
      <c r="AG47" s="80"/>
      <c r="AH47" s="80"/>
      <c r="AI47" s="80"/>
      <c r="AJ47" s="80"/>
      <c r="AK47" s="80"/>
      <c r="AL47" s="80"/>
      <c r="AM47" s="80"/>
      <c r="AN47" s="80"/>
      <c r="AO47" s="80"/>
    </row>
    <row r="48" spans="1:41" x14ac:dyDescent="0.35">
      <c r="A48" s="47">
        <v>5</v>
      </c>
      <c r="B48" s="118">
        <v>46159</v>
      </c>
      <c r="C48" s="119">
        <v>0</v>
      </c>
      <c r="D48" s="119">
        <v>0.78059999999999996</v>
      </c>
      <c r="E48" s="119">
        <v>0.31377145000000001</v>
      </c>
      <c r="F48" s="119">
        <v>0.47526812000000002</v>
      </c>
      <c r="G48" s="119">
        <v>0.66115376000000003</v>
      </c>
      <c r="H48" s="119">
        <v>0.62412992</v>
      </c>
      <c r="I48" s="119">
        <v>0.52151533999999999</v>
      </c>
      <c r="J48" s="119">
        <v>0.36040445999999998</v>
      </c>
      <c r="K48" s="119">
        <v>0.17366639</v>
      </c>
      <c r="L48" s="119">
        <v>5.0587979999999998E-2</v>
      </c>
      <c r="M48" s="2"/>
      <c r="N48" s="2"/>
      <c r="O48" s="2"/>
      <c r="P48" s="2"/>
      <c r="Q48" s="2"/>
      <c r="R48" s="2"/>
      <c r="S48" s="2"/>
      <c r="V48" s="77"/>
      <c r="W48" s="77"/>
      <c r="X48" s="77"/>
      <c r="Y48" s="77"/>
      <c r="Z48" s="77"/>
      <c r="AA48" s="77"/>
      <c r="AB48" s="77"/>
      <c r="AC48" s="77"/>
      <c r="AD48" s="77"/>
      <c r="AF48" s="80"/>
      <c r="AG48" s="80"/>
      <c r="AH48" s="80"/>
      <c r="AI48" s="80"/>
      <c r="AJ48" s="80"/>
      <c r="AK48" s="80"/>
      <c r="AL48" s="80"/>
      <c r="AM48" s="80"/>
      <c r="AN48" s="80"/>
      <c r="AO48" s="80"/>
    </row>
    <row r="49" spans="1:41" x14ac:dyDescent="0.35">
      <c r="A49" s="47">
        <v>5</v>
      </c>
      <c r="B49" s="118">
        <v>46160</v>
      </c>
      <c r="C49" s="119">
        <v>1</v>
      </c>
      <c r="D49" s="119">
        <v>0.76475088000000002</v>
      </c>
      <c r="E49" s="119">
        <v>0.33516207999999997</v>
      </c>
      <c r="F49" s="119">
        <v>1.24048819</v>
      </c>
      <c r="G49" s="119">
        <v>1.1432767699999999</v>
      </c>
      <c r="H49" s="119">
        <v>1.06757517</v>
      </c>
      <c r="I49" s="119">
        <v>0.5965085</v>
      </c>
      <c r="J49" s="119">
        <v>0.41595264999999998</v>
      </c>
      <c r="K49" s="119">
        <v>0.23917505999999999</v>
      </c>
      <c r="L49" s="119">
        <v>6.3873700000000005E-2</v>
      </c>
      <c r="M49" s="2"/>
      <c r="N49" s="2"/>
      <c r="O49" s="2"/>
      <c r="P49" s="2"/>
      <c r="Q49" s="2"/>
      <c r="R49" s="2"/>
      <c r="S49" s="2"/>
      <c r="V49" s="77"/>
      <c r="W49" s="77"/>
      <c r="X49" s="77"/>
      <c r="Y49" s="77"/>
      <c r="Z49" s="77"/>
      <c r="AA49" s="77"/>
      <c r="AB49" s="77"/>
      <c r="AC49" s="77"/>
      <c r="AD49" s="77"/>
      <c r="AF49" s="80"/>
      <c r="AG49" s="80"/>
      <c r="AH49" s="80"/>
      <c r="AI49" s="80"/>
      <c r="AJ49" s="80"/>
      <c r="AK49" s="80"/>
      <c r="AL49" s="80"/>
      <c r="AM49" s="80"/>
      <c r="AN49" s="80"/>
      <c r="AO49" s="80"/>
    </row>
    <row r="50" spans="1:41" x14ac:dyDescent="0.35">
      <c r="A50" s="47">
        <v>5</v>
      </c>
      <c r="B50" s="118">
        <v>46161</v>
      </c>
      <c r="C50" s="119">
        <v>1</v>
      </c>
      <c r="D50" s="119">
        <v>0.76112868</v>
      </c>
      <c r="E50" s="119">
        <v>0.31523387000000003</v>
      </c>
      <c r="F50" s="119">
        <v>1.2454900799999999</v>
      </c>
      <c r="G50" s="119">
        <v>1.14262299</v>
      </c>
      <c r="H50" s="119">
        <v>1.06125895</v>
      </c>
      <c r="I50" s="119">
        <v>0.58209518000000005</v>
      </c>
      <c r="J50" s="119">
        <v>0.39733678</v>
      </c>
      <c r="K50" s="119">
        <v>0.21602119</v>
      </c>
      <c r="L50" s="119">
        <v>5.793682E-2</v>
      </c>
      <c r="M50" s="2"/>
      <c r="N50" s="2"/>
      <c r="O50" s="2"/>
      <c r="P50" s="2"/>
      <c r="Q50" s="2"/>
      <c r="R50" s="2"/>
      <c r="S50" s="2"/>
      <c r="V50" s="77"/>
      <c r="W50" s="77"/>
      <c r="X50" s="77"/>
      <c r="Y50" s="77"/>
      <c r="Z50" s="77"/>
      <c r="AA50" s="77"/>
      <c r="AB50" s="77"/>
      <c r="AC50" s="77"/>
      <c r="AD50" s="77"/>
      <c r="AF50" s="80"/>
      <c r="AG50" s="80"/>
      <c r="AH50" s="80"/>
      <c r="AI50" s="80"/>
      <c r="AJ50" s="80"/>
      <c r="AK50" s="80"/>
      <c r="AL50" s="80"/>
      <c r="AM50" s="80"/>
      <c r="AN50" s="80"/>
      <c r="AO50" s="80"/>
    </row>
    <row r="51" spans="1:41" x14ac:dyDescent="0.35">
      <c r="A51" s="47">
        <v>5</v>
      </c>
      <c r="B51" s="118">
        <v>46162</v>
      </c>
      <c r="C51" s="119">
        <v>1</v>
      </c>
      <c r="D51" s="119">
        <v>0.75751800999999996</v>
      </c>
      <c r="E51" s="119">
        <v>0.29364775999999998</v>
      </c>
      <c r="F51" s="119">
        <v>1.2504919800000001</v>
      </c>
      <c r="G51" s="119">
        <v>1.1419692100000001</v>
      </c>
      <c r="H51" s="119">
        <v>1.05489078</v>
      </c>
      <c r="I51" s="119">
        <v>0.56663227999999999</v>
      </c>
      <c r="J51" s="119">
        <v>0.37722450000000002</v>
      </c>
      <c r="K51" s="119">
        <v>0.19087340999999999</v>
      </c>
      <c r="L51" s="119">
        <v>5.7466450000000002E-2</v>
      </c>
      <c r="M51" s="2"/>
      <c r="N51" s="2"/>
      <c r="O51" s="2"/>
      <c r="P51" s="2"/>
      <c r="Q51" s="2"/>
      <c r="R51" s="2"/>
      <c r="S51" s="2"/>
      <c r="V51" s="77"/>
      <c r="W51" s="77"/>
      <c r="X51" s="77"/>
      <c r="Y51" s="77"/>
      <c r="Z51" s="77"/>
      <c r="AA51" s="77"/>
      <c r="AB51" s="77"/>
      <c r="AC51" s="77"/>
      <c r="AD51" s="77"/>
      <c r="AF51" s="80"/>
      <c r="AG51" s="80"/>
      <c r="AH51" s="80"/>
      <c r="AI51" s="80"/>
      <c r="AJ51" s="80"/>
      <c r="AK51" s="80"/>
      <c r="AL51" s="80"/>
      <c r="AM51" s="80"/>
      <c r="AN51" s="80"/>
      <c r="AO51" s="80"/>
    </row>
    <row r="52" spans="1:41" x14ac:dyDescent="0.35">
      <c r="A52" s="47">
        <v>5</v>
      </c>
      <c r="B52" s="118">
        <v>46163</v>
      </c>
      <c r="C52" s="119">
        <v>1</v>
      </c>
      <c r="D52" s="119">
        <v>0.75391969000000003</v>
      </c>
      <c r="E52" s="119">
        <v>0.27373033000000002</v>
      </c>
      <c r="F52" s="119">
        <v>1.25549388</v>
      </c>
      <c r="G52" s="119">
        <v>1.1413154299999999</v>
      </c>
      <c r="H52" s="119">
        <v>1.0486111499999999</v>
      </c>
      <c r="I52" s="119">
        <v>0.55223723000000002</v>
      </c>
      <c r="J52" s="119">
        <v>0.35862235999999997</v>
      </c>
      <c r="K52" s="119">
        <v>0.16772733000000001</v>
      </c>
      <c r="L52" s="119">
        <v>5.6997699999999998E-2</v>
      </c>
      <c r="M52" s="2"/>
      <c r="N52" s="2"/>
      <c r="O52" s="2"/>
      <c r="P52" s="2"/>
      <c r="Q52" s="2"/>
      <c r="R52" s="2"/>
      <c r="S52" s="2"/>
      <c r="V52" s="77"/>
      <c r="W52" s="77"/>
      <c r="X52" s="77"/>
      <c r="Y52" s="77"/>
      <c r="Z52" s="77"/>
      <c r="AA52" s="77"/>
      <c r="AB52" s="77"/>
      <c r="AC52" s="77"/>
      <c r="AD52" s="77"/>
      <c r="AF52" s="80"/>
      <c r="AG52" s="80"/>
      <c r="AH52" s="80"/>
      <c r="AI52" s="80"/>
      <c r="AJ52" s="80"/>
      <c r="AK52" s="80"/>
      <c r="AL52" s="80"/>
      <c r="AM52" s="80"/>
      <c r="AN52" s="80"/>
      <c r="AO52" s="80"/>
    </row>
    <row r="53" spans="1:41" x14ac:dyDescent="0.35">
      <c r="A53" s="47">
        <v>5</v>
      </c>
      <c r="B53" s="118">
        <v>46164</v>
      </c>
      <c r="C53" s="119">
        <v>1</v>
      </c>
      <c r="D53" s="119">
        <v>0.75033450999999995</v>
      </c>
      <c r="E53" s="119">
        <v>0.25381882</v>
      </c>
      <c r="F53" s="119">
        <v>1.2604957699999999</v>
      </c>
      <c r="G53" s="119">
        <v>1.14066165</v>
      </c>
      <c r="H53" s="119">
        <v>1.04235166</v>
      </c>
      <c r="I53" s="119">
        <v>0.53785223000000004</v>
      </c>
      <c r="J53" s="119">
        <v>0.34002778</v>
      </c>
      <c r="K53" s="119">
        <v>0.14458552</v>
      </c>
      <c r="L53" s="119">
        <v>5.6530650000000002E-2</v>
      </c>
      <c r="M53" s="2"/>
      <c r="N53" s="2"/>
      <c r="O53" s="2"/>
      <c r="P53" s="2"/>
      <c r="Q53" s="2"/>
      <c r="R53" s="2"/>
      <c r="S53" s="2"/>
      <c r="V53" s="77"/>
      <c r="W53" s="77"/>
      <c r="X53" s="77"/>
      <c r="Y53" s="77"/>
      <c r="Z53" s="77"/>
      <c r="AA53" s="77"/>
      <c r="AB53" s="77"/>
      <c r="AC53" s="77"/>
      <c r="AD53" s="77"/>
      <c r="AF53" s="80"/>
      <c r="AG53" s="80"/>
      <c r="AH53" s="80"/>
      <c r="AI53" s="80"/>
      <c r="AJ53" s="80"/>
      <c r="AK53" s="80"/>
      <c r="AL53" s="80"/>
      <c r="AM53" s="80"/>
      <c r="AN53" s="80"/>
      <c r="AO53" s="80"/>
    </row>
    <row r="54" spans="1:41" x14ac:dyDescent="0.35">
      <c r="A54" s="47">
        <v>5</v>
      </c>
      <c r="B54" s="118">
        <v>46165</v>
      </c>
      <c r="C54" s="119">
        <v>0</v>
      </c>
      <c r="D54" s="119">
        <v>0.76053904999999999</v>
      </c>
      <c r="E54" s="119">
        <v>0.23330429999999999</v>
      </c>
      <c r="F54" s="119">
        <v>0.47630641000000001</v>
      </c>
      <c r="G54" s="119">
        <v>0.65829411000000004</v>
      </c>
      <c r="H54" s="119">
        <v>0.60719771</v>
      </c>
      <c r="I54" s="119">
        <v>0.43447669999999999</v>
      </c>
      <c r="J54" s="119">
        <v>0.28893153999999999</v>
      </c>
      <c r="K54" s="119">
        <v>0.10981457</v>
      </c>
      <c r="L54" s="119">
        <v>4.7685999999999999E-2</v>
      </c>
      <c r="M54" s="2"/>
      <c r="N54" s="2"/>
      <c r="O54" s="2"/>
      <c r="P54" s="2"/>
      <c r="Q54" s="2"/>
      <c r="R54" s="2"/>
      <c r="S54" s="2"/>
      <c r="V54" s="77"/>
      <c r="W54" s="77"/>
      <c r="X54" s="77"/>
      <c r="Y54" s="77"/>
      <c r="Z54" s="77"/>
      <c r="AA54" s="77"/>
      <c r="AB54" s="77"/>
      <c r="AC54" s="77"/>
      <c r="AD54" s="77"/>
      <c r="AF54" s="80"/>
      <c r="AG54" s="80"/>
      <c r="AH54" s="80"/>
      <c r="AI54" s="80"/>
      <c r="AJ54" s="80"/>
      <c r="AK54" s="80"/>
      <c r="AL54" s="80"/>
      <c r="AM54" s="80"/>
      <c r="AN54" s="80"/>
      <c r="AO54" s="80"/>
    </row>
    <row r="55" spans="1:41" x14ac:dyDescent="0.35">
      <c r="A55" s="47">
        <v>5</v>
      </c>
      <c r="B55" s="118">
        <v>46166</v>
      </c>
      <c r="C55" s="119">
        <v>0</v>
      </c>
      <c r="D55" s="119">
        <v>0.75723901999999998</v>
      </c>
      <c r="E55" s="119">
        <v>0.23188526000000001</v>
      </c>
      <c r="F55" s="119">
        <v>0.47647946000000002</v>
      </c>
      <c r="G55" s="119">
        <v>0.65781750000000005</v>
      </c>
      <c r="H55" s="119">
        <v>0.60469676000000006</v>
      </c>
      <c r="I55" s="119">
        <v>0.42008098999999999</v>
      </c>
      <c r="J55" s="119">
        <v>0.28707094</v>
      </c>
      <c r="K55" s="119">
        <v>0.10869571</v>
      </c>
      <c r="L55" s="119">
        <v>4.7208630000000001E-2</v>
      </c>
      <c r="M55" s="2"/>
      <c r="N55" s="2"/>
      <c r="O55" s="2"/>
      <c r="P55" s="2"/>
      <c r="Q55" s="2"/>
      <c r="R55" s="2"/>
      <c r="S55" s="2"/>
      <c r="V55" s="77"/>
      <c r="W55" s="77"/>
      <c r="X55" s="77"/>
      <c r="Y55" s="77"/>
      <c r="Z55" s="77"/>
      <c r="AA55" s="77"/>
      <c r="AB55" s="77"/>
      <c r="AC55" s="77"/>
      <c r="AD55" s="77"/>
      <c r="AF55" s="80"/>
      <c r="AG55" s="80"/>
      <c r="AH55" s="80"/>
      <c r="AI55" s="80"/>
      <c r="AJ55" s="80"/>
      <c r="AK55" s="80"/>
      <c r="AL55" s="80"/>
      <c r="AM55" s="80"/>
      <c r="AN55" s="80"/>
      <c r="AO55" s="80"/>
    </row>
    <row r="56" spans="1:41" x14ac:dyDescent="0.35">
      <c r="A56" s="47">
        <v>5</v>
      </c>
      <c r="B56" s="118">
        <v>46167</v>
      </c>
      <c r="C56" s="119">
        <v>0</v>
      </c>
      <c r="D56" s="119">
        <v>0.75395330000000005</v>
      </c>
      <c r="E56" s="119">
        <v>0.23047237000000001</v>
      </c>
      <c r="F56" s="119">
        <v>0.47665250999999997</v>
      </c>
      <c r="G56" s="119">
        <v>0.65734088999999996</v>
      </c>
      <c r="H56" s="119">
        <v>0.60220666</v>
      </c>
      <c r="I56" s="119">
        <v>0.41801349999999998</v>
      </c>
      <c r="J56" s="119">
        <v>0.28521841999999997</v>
      </c>
      <c r="K56" s="119">
        <v>0.1075817</v>
      </c>
      <c r="L56" s="119">
        <v>4.6733320000000002E-2</v>
      </c>
      <c r="M56" s="2"/>
      <c r="N56" s="2"/>
      <c r="O56" s="2"/>
      <c r="P56" s="2"/>
      <c r="Q56" s="2"/>
      <c r="R56" s="2"/>
      <c r="S56" s="2"/>
      <c r="V56" s="77"/>
      <c r="W56" s="77"/>
      <c r="X56" s="77"/>
      <c r="Y56" s="77"/>
      <c r="Z56" s="77"/>
      <c r="AA56" s="77"/>
      <c r="AB56" s="77"/>
      <c r="AC56" s="77"/>
      <c r="AD56" s="77"/>
      <c r="AF56" s="80"/>
      <c r="AG56" s="80"/>
      <c r="AH56" s="80"/>
      <c r="AI56" s="80"/>
      <c r="AJ56" s="80"/>
      <c r="AK56" s="80"/>
      <c r="AL56" s="80"/>
      <c r="AM56" s="80"/>
      <c r="AN56" s="80"/>
      <c r="AO56" s="80"/>
    </row>
    <row r="57" spans="1:41" x14ac:dyDescent="0.35">
      <c r="A57" s="47">
        <v>5</v>
      </c>
      <c r="B57" s="118">
        <v>46168</v>
      </c>
      <c r="C57" s="119">
        <v>1</v>
      </c>
      <c r="D57" s="119">
        <v>0.73614049999999998</v>
      </c>
      <c r="E57" s="119">
        <v>0.24197801999999999</v>
      </c>
      <c r="F57" s="119">
        <v>1.28050336</v>
      </c>
      <c r="G57" s="119">
        <v>1.1380465399999999</v>
      </c>
      <c r="H57" s="119">
        <v>1.0172600300000001</v>
      </c>
      <c r="I57" s="119">
        <v>0.49994631</v>
      </c>
      <c r="J57" s="119">
        <v>0.31544407000000002</v>
      </c>
      <c r="K57" s="119">
        <v>0.1259005</v>
      </c>
      <c r="L57" s="119">
        <v>5.468158E-2</v>
      </c>
      <c r="M57" s="2"/>
      <c r="N57" s="2"/>
      <c r="O57" s="2"/>
      <c r="P57" s="2"/>
      <c r="Q57" s="2"/>
      <c r="R57" s="2"/>
      <c r="S57" s="2"/>
      <c r="V57" s="77"/>
      <c r="W57" s="77"/>
      <c r="X57" s="77"/>
      <c r="Y57" s="77"/>
      <c r="Z57" s="77"/>
      <c r="AA57" s="77"/>
      <c r="AB57" s="77"/>
      <c r="AC57" s="77"/>
      <c r="AD57" s="77"/>
      <c r="AF57" s="80"/>
      <c r="AG57" s="80"/>
      <c r="AH57" s="80"/>
      <c r="AI57" s="80"/>
      <c r="AJ57" s="80"/>
      <c r="AK57" s="80"/>
      <c r="AL57" s="80"/>
      <c r="AM57" s="80"/>
      <c r="AN57" s="80"/>
      <c r="AO57" s="80"/>
    </row>
    <row r="58" spans="1:41" x14ac:dyDescent="0.35">
      <c r="A58" s="47">
        <v>5</v>
      </c>
      <c r="B58" s="118">
        <v>46169</v>
      </c>
      <c r="C58" s="119">
        <v>1</v>
      </c>
      <c r="D58" s="119">
        <v>0.73263237000000003</v>
      </c>
      <c r="E58" s="119">
        <v>0.24039543999999999</v>
      </c>
      <c r="F58" s="119">
        <v>1.2855052600000001</v>
      </c>
      <c r="G58" s="119">
        <v>1.13739276</v>
      </c>
      <c r="H58" s="119">
        <v>1.01104897</v>
      </c>
      <c r="I58" s="119">
        <v>0.49726273999999998</v>
      </c>
      <c r="J58" s="119">
        <v>0.31342733</v>
      </c>
      <c r="K58" s="119">
        <v>0.1247581</v>
      </c>
      <c r="L58" s="119">
        <v>5.422457E-2</v>
      </c>
      <c r="M58" s="2"/>
      <c r="N58" s="2"/>
      <c r="O58" s="2"/>
      <c r="P58" s="2"/>
      <c r="Q58" s="2"/>
      <c r="R58" s="2"/>
      <c r="S58" s="2"/>
      <c r="V58" s="77"/>
      <c r="W58" s="77"/>
      <c r="X58" s="77"/>
      <c r="Y58" s="77"/>
      <c r="Z58" s="77"/>
      <c r="AA58" s="77"/>
      <c r="AB58" s="77"/>
      <c r="AC58" s="77"/>
      <c r="AD58" s="77"/>
      <c r="AF58" s="80"/>
      <c r="AG58" s="80"/>
      <c r="AH58" s="80"/>
      <c r="AI58" s="80"/>
      <c r="AJ58" s="80"/>
      <c r="AK58" s="80"/>
      <c r="AL58" s="80"/>
      <c r="AM58" s="80"/>
      <c r="AN58" s="80"/>
      <c r="AO58" s="80"/>
    </row>
    <row r="59" spans="1:41" x14ac:dyDescent="0.35">
      <c r="A59" s="47">
        <v>5</v>
      </c>
      <c r="B59" s="118">
        <v>46170</v>
      </c>
      <c r="C59" s="119">
        <v>1</v>
      </c>
      <c r="D59" s="119">
        <v>0.72914179999999995</v>
      </c>
      <c r="E59" s="119">
        <v>0.23882078000000001</v>
      </c>
      <c r="F59" s="119">
        <v>1.29050715</v>
      </c>
      <c r="G59" s="119">
        <v>1.1367389800000001</v>
      </c>
      <c r="H59" s="119">
        <v>1.0047952200000001</v>
      </c>
      <c r="I59" s="119">
        <v>0.49459260999999999</v>
      </c>
      <c r="J59" s="119">
        <v>0.31142068000000001</v>
      </c>
      <c r="K59" s="119">
        <v>0.12362142</v>
      </c>
      <c r="L59" s="119">
        <v>5.3769850000000001E-2</v>
      </c>
      <c r="M59" s="2"/>
      <c r="N59" s="2"/>
      <c r="O59" s="2"/>
      <c r="P59" s="2"/>
      <c r="Q59" s="2"/>
      <c r="R59" s="2"/>
      <c r="S59" s="2"/>
      <c r="V59" s="77"/>
      <c r="W59" s="77"/>
      <c r="X59" s="77"/>
      <c r="Y59" s="77"/>
      <c r="Z59" s="77"/>
      <c r="AA59" s="77"/>
      <c r="AB59" s="77"/>
      <c r="AC59" s="77"/>
      <c r="AD59" s="77"/>
      <c r="AF59" s="80"/>
      <c r="AG59" s="80"/>
      <c r="AH59" s="80"/>
      <c r="AI59" s="80"/>
      <c r="AJ59" s="80"/>
      <c r="AK59" s="80"/>
      <c r="AL59" s="80"/>
      <c r="AM59" s="80"/>
      <c r="AN59" s="80"/>
      <c r="AO59" s="80"/>
    </row>
    <row r="60" spans="1:41" x14ac:dyDescent="0.35">
      <c r="A60" s="47">
        <v>5</v>
      </c>
      <c r="B60" s="118">
        <v>46171</v>
      </c>
      <c r="C60" s="119">
        <v>1</v>
      </c>
      <c r="D60" s="119">
        <v>0.72566947999999998</v>
      </c>
      <c r="E60" s="119">
        <v>0.23725436</v>
      </c>
      <c r="F60" s="119">
        <v>1.2955090499999999</v>
      </c>
      <c r="G60" s="119">
        <v>1.1360851999999999</v>
      </c>
      <c r="H60" s="119">
        <v>0.99877026000000002</v>
      </c>
      <c r="I60" s="119">
        <v>0.49193643999999997</v>
      </c>
      <c r="J60" s="119">
        <v>0.30942452999999998</v>
      </c>
      <c r="K60" s="119">
        <v>0.12249069</v>
      </c>
      <c r="L60" s="119">
        <v>5.3317509999999999E-2</v>
      </c>
      <c r="M60" s="2"/>
      <c r="N60" s="2"/>
      <c r="O60" s="2"/>
      <c r="P60" s="2"/>
      <c r="Q60" s="2"/>
      <c r="R60" s="2"/>
      <c r="S60" s="2"/>
      <c r="V60" s="77"/>
      <c r="W60" s="77"/>
      <c r="X60" s="77"/>
      <c r="Y60" s="77"/>
      <c r="Z60" s="77"/>
      <c r="AA60" s="77"/>
      <c r="AB60" s="77"/>
      <c r="AC60" s="77"/>
      <c r="AD60" s="77"/>
      <c r="AF60" s="80"/>
      <c r="AG60" s="80"/>
      <c r="AH60" s="80"/>
      <c r="AI60" s="80"/>
      <c r="AJ60" s="80"/>
      <c r="AK60" s="80"/>
      <c r="AL60" s="80"/>
      <c r="AM60" s="80"/>
      <c r="AN60" s="80"/>
      <c r="AO60" s="80"/>
    </row>
    <row r="61" spans="1:41" x14ac:dyDescent="0.35">
      <c r="A61" s="47">
        <v>5</v>
      </c>
      <c r="B61" s="118">
        <v>46172</v>
      </c>
      <c r="C61" s="119">
        <v>0</v>
      </c>
      <c r="D61" s="119">
        <v>0.73776260000000005</v>
      </c>
      <c r="E61" s="119">
        <v>0.22351024999999999</v>
      </c>
      <c r="F61" s="119">
        <v>0.47751776000000001</v>
      </c>
      <c r="G61" s="119">
        <v>0.65495786</v>
      </c>
      <c r="H61" s="119">
        <v>0.58993644000000001</v>
      </c>
      <c r="I61" s="119">
        <v>0.40782573</v>
      </c>
      <c r="J61" s="119">
        <v>0.27608989</v>
      </c>
      <c r="K61" s="119">
        <v>0.10209234</v>
      </c>
      <c r="L61" s="119">
        <v>4.439121E-2</v>
      </c>
      <c r="M61" s="2"/>
      <c r="N61" s="2"/>
      <c r="O61" s="2"/>
      <c r="P61" s="2"/>
      <c r="Q61" s="2"/>
      <c r="R61" s="2"/>
      <c r="S61" s="2"/>
      <c r="V61" s="77"/>
      <c r="W61" s="77"/>
      <c r="X61" s="77"/>
      <c r="Y61" s="77"/>
      <c r="Z61" s="77"/>
      <c r="AA61" s="77"/>
      <c r="AB61" s="77"/>
      <c r="AC61" s="77"/>
      <c r="AD61" s="77"/>
      <c r="AF61" s="80"/>
      <c r="AG61" s="80"/>
      <c r="AH61" s="80"/>
      <c r="AI61" s="80"/>
      <c r="AJ61" s="80"/>
      <c r="AK61" s="80"/>
      <c r="AL61" s="80"/>
      <c r="AM61" s="80"/>
      <c r="AN61" s="80"/>
      <c r="AO61" s="80"/>
    </row>
    <row r="62" spans="1:41" x14ac:dyDescent="0.35">
      <c r="A62" s="47">
        <v>5</v>
      </c>
      <c r="B62" s="118">
        <v>46173</v>
      </c>
      <c r="C62" s="119">
        <v>0</v>
      </c>
      <c r="D62" s="119">
        <v>0.73457649999999997</v>
      </c>
      <c r="E62" s="119">
        <v>0.22214020000000001</v>
      </c>
      <c r="F62" s="119">
        <v>0.47769081000000002</v>
      </c>
      <c r="G62" s="119">
        <v>0.65448125000000001</v>
      </c>
      <c r="H62" s="119">
        <v>0.58752183000000002</v>
      </c>
      <c r="I62" s="119">
        <v>0.40582091999999997</v>
      </c>
      <c r="J62" s="119">
        <v>0.27429353000000001</v>
      </c>
      <c r="K62" s="119">
        <v>0.10101211</v>
      </c>
      <c r="L62" s="119">
        <v>4.393031E-2</v>
      </c>
      <c r="M62" s="2"/>
      <c r="N62" s="2"/>
      <c r="O62" s="2"/>
      <c r="P62" s="2"/>
      <c r="Q62" s="2"/>
      <c r="R62" s="2"/>
      <c r="S62" s="2"/>
      <c r="V62" s="77"/>
      <c r="W62" s="77"/>
      <c r="X62" s="77"/>
      <c r="Y62" s="77"/>
      <c r="Z62" s="77"/>
      <c r="AA62" s="77"/>
      <c r="AB62" s="77"/>
      <c r="AC62" s="77"/>
      <c r="AD62" s="77"/>
      <c r="AF62" s="80"/>
      <c r="AG62" s="80"/>
      <c r="AH62" s="80"/>
      <c r="AI62" s="80"/>
      <c r="AJ62" s="80"/>
      <c r="AK62" s="80"/>
      <c r="AL62" s="80"/>
      <c r="AM62" s="80"/>
      <c r="AN62" s="80"/>
      <c r="AO62" s="80"/>
    </row>
    <row r="63" spans="1:41" x14ac:dyDescent="0.35">
      <c r="A63" s="47">
        <v>6</v>
      </c>
      <c r="B63" s="118">
        <v>46174</v>
      </c>
      <c r="C63" s="119">
        <v>1</v>
      </c>
      <c r="D63" s="119">
        <v>0.71536875</v>
      </c>
      <c r="E63" s="119">
        <v>0.23260752000000001</v>
      </c>
      <c r="F63" s="119">
        <v>1.3055128499999999</v>
      </c>
      <c r="G63" s="119">
        <v>1.13477764</v>
      </c>
      <c r="H63" s="119">
        <v>0.98298607999999998</v>
      </c>
      <c r="I63" s="119">
        <v>0.48405682999999999</v>
      </c>
      <c r="J63" s="119">
        <v>0.30350289000000003</v>
      </c>
      <c r="K63" s="119">
        <v>0.11913633</v>
      </c>
      <c r="L63" s="119">
        <v>5.1975630000000002E-2</v>
      </c>
      <c r="M63" s="2"/>
      <c r="N63" s="2"/>
      <c r="O63" s="2"/>
      <c r="P63" s="2"/>
      <c r="Q63" s="2"/>
      <c r="R63" s="2"/>
      <c r="S63" s="2"/>
      <c r="V63" s="77"/>
      <c r="W63" s="77"/>
      <c r="X63" s="77"/>
      <c r="Y63" s="77"/>
      <c r="Z63" s="77"/>
      <c r="AA63" s="77"/>
      <c r="AB63" s="77"/>
      <c r="AC63" s="77"/>
      <c r="AD63" s="77"/>
      <c r="AF63" s="80"/>
      <c r="AG63" s="80"/>
      <c r="AH63" s="80"/>
      <c r="AI63" s="80"/>
      <c r="AJ63" s="80"/>
      <c r="AK63" s="80"/>
      <c r="AL63" s="80"/>
      <c r="AM63" s="80"/>
      <c r="AN63" s="80"/>
      <c r="AO63" s="80"/>
    </row>
    <row r="64" spans="1:41" x14ac:dyDescent="0.35">
      <c r="A64" s="47">
        <v>6</v>
      </c>
      <c r="B64" s="118">
        <v>46175</v>
      </c>
      <c r="C64" s="119">
        <v>1</v>
      </c>
      <c r="D64" s="119">
        <v>0.71197608000000001</v>
      </c>
      <c r="E64" s="119">
        <v>0.23107702999999999</v>
      </c>
      <c r="F64" s="119">
        <v>1.3105147399999999</v>
      </c>
      <c r="G64" s="119">
        <v>1.13412387</v>
      </c>
      <c r="H64" s="119">
        <v>0.97778737000000004</v>
      </c>
      <c r="I64" s="119">
        <v>0.48146158999999999</v>
      </c>
      <c r="J64" s="119">
        <v>0.30155252999999999</v>
      </c>
      <c r="K64" s="119">
        <v>0.11803153</v>
      </c>
      <c r="L64" s="119">
        <v>5.1533660000000002E-2</v>
      </c>
      <c r="M64" s="2"/>
      <c r="N64" s="2"/>
      <c r="O64" s="2"/>
      <c r="P64" s="2"/>
      <c r="Q64" s="2"/>
      <c r="R64" s="2"/>
      <c r="S64" s="2"/>
      <c r="V64" s="77"/>
      <c r="W64" s="77"/>
      <c r="X64" s="77"/>
      <c r="Y64" s="77"/>
      <c r="Z64" s="77"/>
      <c r="AA64" s="77"/>
      <c r="AB64" s="77"/>
      <c r="AC64" s="77"/>
      <c r="AD64" s="77"/>
      <c r="AF64" s="80"/>
      <c r="AG64" s="80"/>
      <c r="AH64" s="80"/>
      <c r="AI64" s="80"/>
      <c r="AJ64" s="80"/>
      <c r="AK64" s="80"/>
      <c r="AL64" s="80"/>
      <c r="AM64" s="80"/>
      <c r="AN64" s="80"/>
      <c r="AO64" s="80"/>
    </row>
    <row r="65" spans="1:41" x14ac:dyDescent="0.35">
      <c r="A65" s="47">
        <v>6</v>
      </c>
      <c r="B65" s="118">
        <v>46176</v>
      </c>
      <c r="C65" s="119">
        <v>1</v>
      </c>
      <c r="D65" s="119">
        <v>0.70860491999999997</v>
      </c>
      <c r="E65" s="119">
        <v>0.22955623999999999</v>
      </c>
      <c r="F65" s="119">
        <v>1.31551664</v>
      </c>
      <c r="G65" s="119">
        <v>1.1334700900000001</v>
      </c>
      <c r="H65" s="119">
        <v>0.97262163000000001</v>
      </c>
      <c r="I65" s="119">
        <v>0.4788828</v>
      </c>
      <c r="J65" s="119">
        <v>0.29961452999999999</v>
      </c>
      <c r="K65" s="119">
        <v>0.11693373</v>
      </c>
      <c r="L65" s="119">
        <v>5.1094489999999999E-2</v>
      </c>
      <c r="M65" s="2"/>
      <c r="N65" s="2"/>
      <c r="O65" s="2"/>
      <c r="P65" s="2"/>
      <c r="Q65" s="2"/>
      <c r="R65" s="2"/>
      <c r="S65" s="2"/>
      <c r="V65" s="77"/>
      <c r="W65" s="77"/>
      <c r="X65" s="77"/>
      <c r="Y65" s="77"/>
      <c r="Z65" s="77"/>
      <c r="AA65" s="77"/>
      <c r="AB65" s="77"/>
      <c r="AC65" s="77"/>
      <c r="AD65" s="77"/>
      <c r="AF65" s="80"/>
      <c r="AG65" s="80"/>
      <c r="AH65" s="80"/>
      <c r="AI65" s="80"/>
      <c r="AJ65" s="80"/>
      <c r="AK65" s="80"/>
      <c r="AL65" s="80"/>
      <c r="AM65" s="80"/>
      <c r="AN65" s="80"/>
      <c r="AO65" s="80"/>
    </row>
    <row r="66" spans="1:41" x14ac:dyDescent="0.35">
      <c r="A66" s="47">
        <v>6</v>
      </c>
      <c r="B66" s="118">
        <v>46177</v>
      </c>
      <c r="C66" s="119">
        <v>1</v>
      </c>
      <c r="D66" s="119">
        <v>0.70525589</v>
      </c>
      <c r="E66" s="119">
        <v>0.22804543999999999</v>
      </c>
      <c r="F66" s="119">
        <v>1.3205185399999999</v>
      </c>
      <c r="G66" s="119">
        <v>1.1328163099999999</v>
      </c>
      <c r="H66" s="119">
        <v>0.96748979000000002</v>
      </c>
      <c r="I66" s="119">
        <v>0.47632094000000003</v>
      </c>
      <c r="J66" s="119">
        <v>0.29768926000000001</v>
      </c>
      <c r="K66" s="119">
        <v>0.11584315000000001</v>
      </c>
      <c r="L66" s="119">
        <v>5.0658210000000002E-2</v>
      </c>
      <c r="M66" s="2"/>
      <c r="N66" s="2"/>
      <c r="O66" s="2"/>
      <c r="P66" s="2"/>
      <c r="Q66" s="2"/>
      <c r="R66" s="2"/>
      <c r="S66" s="2"/>
      <c r="V66" s="77"/>
      <c r="W66" s="77"/>
      <c r="X66" s="77"/>
      <c r="Y66" s="77"/>
      <c r="Z66" s="77"/>
      <c r="AA66" s="77"/>
      <c r="AB66" s="77"/>
      <c r="AC66" s="77"/>
      <c r="AD66" s="77"/>
      <c r="AF66" s="80"/>
      <c r="AG66" s="80"/>
      <c r="AH66" s="80"/>
      <c r="AI66" s="80"/>
      <c r="AJ66" s="80"/>
      <c r="AK66" s="80"/>
      <c r="AL66" s="80"/>
      <c r="AM66" s="80"/>
      <c r="AN66" s="80"/>
      <c r="AO66" s="80"/>
    </row>
    <row r="67" spans="1:41" x14ac:dyDescent="0.35">
      <c r="A67" s="47">
        <v>6</v>
      </c>
      <c r="B67" s="118">
        <v>46178</v>
      </c>
      <c r="C67" s="119">
        <v>1</v>
      </c>
      <c r="D67" s="119">
        <v>0.70192960999999998</v>
      </c>
      <c r="E67" s="119">
        <v>0.22654489999999999</v>
      </c>
      <c r="F67" s="119">
        <v>1.3255204300000001</v>
      </c>
      <c r="G67" s="119">
        <v>1.13216253</v>
      </c>
      <c r="H67" s="119">
        <v>0.96239282000000004</v>
      </c>
      <c r="I67" s="119">
        <v>0.47377648</v>
      </c>
      <c r="J67" s="119">
        <v>0.29577705999999998</v>
      </c>
      <c r="K67" s="119">
        <v>0.11475997</v>
      </c>
      <c r="L67" s="119">
        <v>5.0224900000000003E-2</v>
      </c>
      <c r="M67" s="2"/>
      <c r="N67" s="2"/>
      <c r="O67" s="2"/>
      <c r="P67" s="2"/>
      <c r="Q67" s="2"/>
      <c r="R67" s="2"/>
      <c r="S67" s="2"/>
      <c r="V67" s="77"/>
      <c r="W67" s="77"/>
      <c r="X67" s="77"/>
      <c r="Y67" s="77"/>
      <c r="Z67" s="77"/>
      <c r="AA67" s="77"/>
      <c r="AB67" s="77"/>
      <c r="AC67" s="77"/>
      <c r="AD67" s="77"/>
      <c r="AF67" s="80"/>
      <c r="AG67" s="80"/>
      <c r="AH67" s="80"/>
      <c r="AI67" s="80"/>
      <c r="AJ67" s="80"/>
      <c r="AK67" s="80"/>
      <c r="AL67" s="80"/>
      <c r="AM67" s="80"/>
      <c r="AN67" s="80"/>
      <c r="AO67" s="80"/>
    </row>
    <row r="68" spans="1:41" x14ac:dyDescent="0.35">
      <c r="A68" s="47">
        <v>6</v>
      </c>
      <c r="B68" s="118">
        <v>46179</v>
      </c>
      <c r="C68" s="119">
        <v>0</v>
      </c>
      <c r="D68" s="119">
        <v>0.71587480000000003</v>
      </c>
      <c r="E68" s="119">
        <v>0.21409832000000001</v>
      </c>
      <c r="F68" s="119">
        <v>0.47855605000000001</v>
      </c>
      <c r="G68" s="119">
        <v>0.65209821000000001</v>
      </c>
      <c r="H68" s="119">
        <v>0.57334863000000003</v>
      </c>
      <c r="I68" s="119">
        <v>0.39405314000000002</v>
      </c>
      <c r="J68" s="119">
        <v>0.26374926999999998</v>
      </c>
      <c r="K68" s="119">
        <v>9.4671400000000003E-2</v>
      </c>
      <c r="L68" s="119">
        <v>4.1224959999999998E-2</v>
      </c>
      <c r="M68" s="2"/>
      <c r="N68" s="2"/>
      <c r="O68" s="2"/>
      <c r="P68" s="2"/>
      <c r="Q68" s="2"/>
      <c r="R68" s="2"/>
      <c r="S68" s="2"/>
      <c r="V68" s="77"/>
      <c r="W68" s="77"/>
      <c r="X68" s="77"/>
      <c r="Y68" s="77"/>
      <c r="Z68" s="77"/>
      <c r="AA68" s="77"/>
      <c r="AB68" s="77"/>
      <c r="AC68" s="77"/>
      <c r="AD68" s="77"/>
      <c r="AF68" s="80"/>
      <c r="AG68" s="80"/>
      <c r="AH68" s="80"/>
      <c r="AI68" s="80"/>
      <c r="AJ68" s="80"/>
      <c r="AK68" s="80"/>
      <c r="AL68" s="80"/>
      <c r="AM68" s="80"/>
      <c r="AN68" s="80"/>
      <c r="AO68" s="80"/>
    </row>
    <row r="69" spans="1:41" x14ac:dyDescent="0.35">
      <c r="A69" s="47">
        <v>6</v>
      </c>
      <c r="B69" s="118">
        <v>46180</v>
      </c>
      <c r="C69" s="119">
        <v>0</v>
      </c>
      <c r="D69" s="119">
        <v>0.71283235</v>
      </c>
      <c r="E69" s="119">
        <v>0.21279005000000001</v>
      </c>
      <c r="F69" s="119">
        <v>0.47872910000000002</v>
      </c>
      <c r="G69" s="119">
        <v>0.65162160000000002</v>
      </c>
      <c r="H69" s="119">
        <v>0.57104288999999997</v>
      </c>
      <c r="I69" s="119">
        <v>0.39213872999999999</v>
      </c>
      <c r="J69" s="119">
        <v>0.26203389999999999</v>
      </c>
      <c r="K69" s="119">
        <v>9.363987E-2</v>
      </c>
      <c r="L69" s="119">
        <v>4.0784849999999997E-2</v>
      </c>
      <c r="M69" s="2"/>
      <c r="N69" s="2"/>
      <c r="O69" s="2"/>
      <c r="P69" s="2"/>
      <c r="Q69" s="2"/>
      <c r="R69" s="2"/>
      <c r="S69" s="2"/>
      <c r="V69" s="77"/>
      <c r="W69" s="77"/>
      <c r="X69" s="77"/>
      <c r="Y69" s="77"/>
      <c r="Z69" s="77"/>
      <c r="AA69" s="77"/>
      <c r="AB69" s="77"/>
      <c r="AC69" s="77"/>
      <c r="AD69" s="77"/>
      <c r="AF69" s="80"/>
      <c r="AG69" s="80"/>
      <c r="AH69" s="80"/>
      <c r="AI69" s="80"/>
      <c r="AJ69" s="80"/>
      <c r="AK69" s="80"/>
      <c r="AL69" s="80"/>
      <c r="AM69" s="80"/>
      <c r="AN69" s="80"/>
      <c r="AO69" s="80"/>
    </row>
    <row r="70" spans="1:41" x14ac:dyDescent="0.35">
      <c r="A70" s="47">
        <v>6</v>
      </c>
      <c r="B70" s="118">
        <v>46181</v>
      </c>
      <c r="C70" s="119">
        <v>1</v>
      </c>
      <c r="D70" s="119">
        <v>0.69209326999999998</v>
      </c>
      <c r="E70" s="119">
        <v>0.22210754999999999</v>
      </c>
      <c r="F70" s="119">
        <v>1.34052612</v>
      </c>
      <c r="G70" s="119">
        <v>1.13020119</v>
      </c>
      <c r="H70" s="119">
        <v>0.94732024000000004</v>
      </c>
      <c r="I70" s="119">
        <v>0.4662521</v>
      </c>
      <c r="J70" s="119">
        <v>0.29012238000000001</v>
      </c>
      <c r="K70" s="119">
        <v>0.11155683</v>
      </c>
      <c r="L70" s="119">
        <v>4.8943510000000003E-2</v>
      </c>
      <c r="M70" s="2"/>
      <c r="N70" s="2"/>
      <c r="O70" s="2"/>
      <c r="P70" s="2"/>
      <c r="Q70" s="2"/>
      <c r="R70" s="2"/>
      <c r="S70" s="2"/>
      <c r="V70" s="77"/>
      <c r="W70" s="77"/>
      <c r="X70" s="77"/>
      <c r="Y70" s="77"/>
      <c r="Z70" s="77"/>
      <c r="AA70" s="77"/>
      <c r="AB70" s="77"/>
      <c r="AC70" s="77"/>
      <c r="AD70" s="77"/>
      <c r="AF70" s="80"/>
      <c r="AG70" s="80"/>
      <c r="AH70" s="80"/>
      <c r="AI70" s="80"/>
      <c r="AJ70" s="80"/>
      <c r="AK70" s="80"/>
      <c r="AL70" s="80"/>
      <c r="AM70" s="80"/>
      <c r="AN70" s="80"/>
      <c r="AO70" s="80"/>
    </row>
    <row r="71" spans="1:41" x14ac:dyDescent="0.35">
      <c r="A71" s="47">
        <v>6</v>
      </c>
      <c r="B71" s="118">
        <v>46182</v>
      </c>
      <c r="C71" s="119">
        <v>1</v>
      </c>
      <c r="D71" s="119">
        <v>0.68886396000000005</v>
      </c>
      <c r="E71" s="119">
        <v>0.22065076</v>
      </c>
      <c r="F71" s="119">
        <v>1.3455280199999999</v>
      </c>
      <c r="G71" s="119">
        <v>1.12954741</v>
      </c>
      <c r="H71" s="119">
        <v>0.94237185999999995</v>
      </c>
      <c r="I71" s="119">
        <v>0.46378183000000001</v>
      </c>
      <c r="J71" s="119">
        <v>0.28826593</v>
      </c>
      <c r="K71" s="119">
        <v>0.11050523</v>
      </c>
      <c r="L71" s="119">
        <v>4.8522820000000001E-2</v>
      </c>
      <c r="M71" s="2"/>
      <c r="N71" s="2"/>
      <c r="O71" s="2"/>
      <c r="P71" s="2"/>
      <c r="Q71" s="2"/>
      <c r="R71" s="2"/>
      <c r="S71" s="2"/>
      <c r="V71" s="77"/>
      <c r="W71" s="77"/>
      <c r="X71" s="77"/>
      <c r="Y71" s="77"/>
      <c r="Z71" s="77"/>
      <c r="AA71" s="77"/>
      <c r="AB71" s="77"/>
      <c r="AC71" s="77"/>
      <c r="AD71" s="77"/>
      <c r="AF71" s="80"/>
      <c r="AG71" s="80"/>
      <c r="AH71" s="80"/>
      <c r="AI71" s="80"/>
      <c r="AJ71" s="80"/>
      <c r="AK71" s="80"/>
      <c r="AL71" s="80"/>
      <c r="AM71" s="80"/>
      <c r="AN71" s="80"/>
      <c r="AO71" s="80"/>
    </row>
    <row r="72" spans="1:41" x14ac:dyDescent="0.35">
      <c r="A72" s="47">
        <v>6</v>
      </c>
      <c r="B72" s="118">
        <v>46183</v>
      </c>
      <c r="C72" s="119">
        <v>1</v>
      </c>
      <c r="D72" s="119">
        <v>0.68566037000000002</v>
      </c>
      <c r="E72" s="119">
        <v>0.21920555999999999</v>
      </c>
      <c r="F72" s="119">
        <v>1.3505299200000001</v>
      </c>
      <c r="G72" s="119">
        <v>1.12889364</v>
      </c>
      <c r="H72" s="119">
        <v>0.93746288</v>
      </c>
      <c r="I72" s="119">
        <v>0.46133121999999999</v>
      </c>
      <c r="J72" s="119">
        <v>0.28642425999999999</v>
      </c>
      <c r="K72" s="119">
        <v>0.10946201</v>
      </c>
      <c r="L72" s="119">
        <v>4.8105490000000001E-2</v>
      </c>
      <c r="M72" s="2"/>
      <c r="N72" s="2"/>
      <c r="O72" s="2"/>
      <c r="P72" s="2"/>
      <c r="Q72" s="2"/>
      <c r="R72" s="2"/>
      <c r="S72" s="2"/>
      <c r="V72" s="77"/>
      <c r="W72" s="77"/>
      <c r="X72" s="77"/>
      <c r="Y72" s="77"/>
      <c r="Z72" s="77"/>
      <c r="AA72" s="77"/>
      <c r="AB72" s="77"/>
      <c r="AC72" s="77"/>
      <c r="AD72" s="77"/>
      <c r="AF72" s="80"/>
      <c r="AG72" s="80"/>
      <c r="AH72" s="80"/>
      <c r="AI72" s="80"/>
      <c r="AJ72" s="80"/>
      <c r="AK72" s="80"/>
      <c r="AL72" s="80"/>
      <c r="AM72" s="80"/>
      <c r="AN72" s="80"/>
      <c r="AO72" s="80"/>
    </row>
    <row r="73" spans="1:41" x14ac:dyDescent="0.35">
      <c r="A73" s="47">
        <v>6</v>
      </c>
      <c r="B73" s="118">
        <v>46184</v>
      </c>
      <c r="C73" s="119">
        <v>1</v>
      </c>
      <c r="D73" s="119">
        <v>0.68248306999999997</v>
      </c>
      <c r="E73" s="119">
        <v>0.21777223000000001</v>
      </c>
      <c r="F73" s="119">
        <v>1.35553181</v>
      </c>
      <c r="G73" s="119">
        <v>1.1282398600000001</v>
      </c>
      <c r="H73" s="119">
        <v>0.93259420000000004</v>
      </c>
      <c r="I73" s="119">
        <v>0.45890071999999998</v>
      </c>
      <c r="J73" s="119">
        <v>0.28459771</v>
      </c>
      <c r="K73" s="119">
        <v>0.10842734</v>
      </c>
      <c r="L73" s="119">
        <v>4.7691579999999997E-2</v>
      </c>
      <c r="M73" s="2"/>
      <c r="N73" s="2"/>
      <c r="O73" s="2"/>
      <c r="P73" s="2"/>
      <c r="Q73" s="2"/>
      <c r="R73" s="2"/>
      <c r="S73" s="2"/>
      <c r="V73" s="77"/>
      <c r="W73" s="77"/>
      <c r="X73" s="77"/>
      <c r="Y73" s="77"/>
      <c r="Z73" s="77"/>
      <c r="AA73" s="77"/>
      <c r="AB73" s="77"/>
      <c r="AC73" s="77"/>
      <c r="AD73" s="77"/>
      <c r="AF73" s="80"/>
      <c r="AG73" s="80"/>
      <c r="AH73" s="80"/>
      <c r="AI73" s="80"/>
      <c r="AJ73" s="80"/>
      <c r="AK73" s="80"/>
      <c r="AL73" s="80"/>
      <c r="AM73" s="80"/>
      <c r="AN73" s="80"/>
      <c r="AO73" s="80"/>
    </row>
    <row r="74" spans="1:41" x14ac:dyDescent="0.35">
      <c r="A74" s="47">
        <v>6</v>
      </c>
      <c r="B74" s="118">
        <v>46185</v>
      </c>
      <c r="C74" s="119">
        <v>1</v>
      </c>
      <c r="D74" s="119">
        <v>0.67933264999999998</v>
      </c>
      <c r="E74" s="119">
        <v>0.21635102</v>
      </c>
      <c r="F74" s="119">
        <v>1.3605337099999999</v>
      </c>
      <c r="G74" s="119">
        <v>1.1275860799999999</v>
      </c>
      <c r="H74" s="119">
        <v>0.92776669</v>
      </c>
      <c r="I74" s="119">
        <v>0.45649078999999998</v>
      </c>
      <c r="J74" s="119">
        <v>0.28278660999999999</v>
      </c>
      <c r="K74" s="119">
        <v>0.10740143000000001</v>
      </c>
      <c r="L74" s="119">
        <v>4.7281169999999997E-2</v>
      </c>
      <c r="M74" s="2"/>
      <c r="N74" s="2"/>
      <c r="O74" s="2"/>
      <c r="P74" s="2"/>
      <c r="Q74" s="2"/>
      <c r="R74" s="2"/>
      <c r="S74" s="2"/>
      <c r="V74" s="77"/>
      <c r="W74" s="77"/>
      <c r="X74" s="77"/>
      <c r="Y74" s="77"/>
      <c r="Z74" s="77"/>
      <c r="AA74" s="77"/>
      <c r="AB74" s="77"/>
      <c r="AC74" s="77"/>
      <c r="AD74" s="77"/>
      <c r="AF74" s="80"/>
      <c r="AG74" s="80"/>
      <c r="AH74" s="80"/>
      <c r="AI74" s="80"/>
      <c r="AJ74" s="80"/>
      <c r="AK74" s="80"/>
      <c r="AL74" s="80"/>
      <c r="AM74" s="80"/>
      <c r="AN74" s="80"/>
      <c r="AO74" s="80"/>
    </row>
    <row r="75" spans="1:41" x14ac:dyDescent="0.35">
      <c r="A75" s="47">
        <v>6</v>
      </c>
      <c r="B75" s="118">
        <v>46186</v>
      </c>
      <c r="C75" s="119">
        <v>0</v>
      </c>
      <c r="D75" s="119">
        <v>0.69507483999999997</v>
      </c>
      <c r="E75" s="119">
        <v>0.20515417999999999</v>
      </c>
      <c r="F75" s="119">
        <v>0.47976740000000001</v>
      </c>
      <c r="G75" s="119">
        <v>0.64876195000000003</v>
      </c>
      <c r="H75" s="119">
        <v>0.55758525000000003</v>
      </c>
      <c r="I75" s="119">
        <v>0.38096506000000002</v>
      </c>
      <c r="J75" s="119">
        <v>0.25202198999999997</v>
      </c>
      <c r="K75" s="119">
        <v>8.7619290000000002E-2</v>
      </c>
      <c r="L75" s="119">
        <v>3.8216079999999999E-2</v>
      </c>
      <c r="M75" s="2"/>
      <c r="N75" s="2"/>
      <c r="O75" s="2"/>
      <c r="P75" s="2"/>
      <c r="Q75" s="2"/>
      <c r="R75" s="2"/>
      <c r="S75" s="2"/>
      <c r="V75" s="77"/>
      <c r="W75" s="77"/>
      <c r="X75" s="77"/>
      <c r="Y75" s="77"/>
      <c r="Z75" s="77"/>
      <c r="AA75" s="77"/>
      <c r="AB75" s="77"/>
      <c r="AC75" s="77"/>
      <c r="AD75" s="77"/>
      <c r="AF75" s="80"/>
      <c r="AG75" s="80"/>
      <c r="AH75" s="80"/>
      <c r="AI75" s="80"/>
      <c r="AJ75" s="80"/>
      <c r="AK75" s="80"/>
      <c r="AL75" s="80"/>
      <c r="AM75" s="80"/>
      <c r="AN75" s="80"/>
      <c r="AO75" s="80"/>
    </row>
    <row r="76" spans="1:41" x14ac:dyDescent="0.35">
      <c r="A76" s="47">
        <v>6</v>
      </c>
      <c r="B76" s="118">
        <v>46187</v>
      </c>
      <c r="C76" s="119">
        <v>0</v>
      </c>
      <c r="D76" s="119">
        <v>0.69220313</v>
      </c>
      <c r="E76" s="119">
        <v>0.20391931999999999</v>
      </c>
      <c r="F76" s="119">
        <v>0.47994045000000002</v>
      </c>
      <c r="G76" s="119">
        <v>0.64828534999999998</v>
      </c>
      <c r="H76" s="119">
        <v>0.55540891000000003</v>
      </c>
      <c r="I76" s="119">
        <v>0.37915808000000001</v>
      </c>
      <c r="J76" s="119">
        <v>0.25040287999999999</v>
      </c>
      <c r="K76" s="119">
        <v>8.6645650000000005E-2</v>
      </c>
      <c r="L76" s="119">
        <v>3.780066E-2</v>
      </c>
      <c r="M76" s="2"/>
      <c r="N76" s="2"/>
      <c r="O76" s="2"/>
      <c r="P76" s="2"/>
      <c r="Q76" s="2"/>
      <c r="R76" s="2"/>
      <c r="S76" s="2"/>
      <c r="V76" s="77"/>
      <c r="W76" s="77"/>
      <c r="X76" s="77"/>
      <c r="Y76" s="77"/>
      <c r="Z76" s="77"/>
      <c r="AA76" s="77"/>
      <c r="AB76" s="77"/>
      <c r="AC76" s="77"/>
      <c r="AD76" s="77"/>
      <c r="AF76" s="80"/>
      <c r="AG76" s="80"/>
      <c r="AH76" s="80"/>
      <c r="AI76" s="80"/>
      <c r="AJ76" s="80"/>
      <c r="AK76" s="80"/>
      <c r="AL76" s="80"/>
      <c r="AM76" s="80"/>
      <c r="AN76" s="80"/>
      <c r="AO76" s="80"/>
    </row>
    <row r="77" spans="1:41" x14ac:dyDescent="0.35">
      <c r="A77" s="47">
        <v>6</v>
      </c>
      <c r="B77" s="118">
        <v>46188</v>
      </c>
      <c r="C77" s="119">
        <v>1</v>
      </c>
      <c r="D77" s="119">
        <v>0.67004836000000001</v>
      </c>
      <c r="E77" s="119">
        <v>0.21216272</v>
      </c>
      <c r="F77" s="119">
        <v>1.3755394000000001</v>
      </c>
      <c r="G77" s="119">
        <v>1.1256247399999999</v>
      </c>
      <c r="H77" s="119">
        <v>0.91354004</v>
      </c>
      <c r="I77" s="119">
        <v>0.44938871000000002</v>
      </c>
      <c r="J77" s="119">
        <v>0.27744929000000002</v>
      </c>
      <c r="K77" s="119">
        <v>0.10437807</v>
      </c>
      <c r="L77" s="119">
        <v>4.6071689999999998E-2</v>
      </c>
      <c r="M77" s="2"/>
      <c r="N77" s="2"/>
      <c r="O77" s="2"/>
      <c r="P77" s="2"/>
      <c r="Q77" s="2"/>
      <c r="R77" s="2"/>
      <c r="S77" s="2"/>
      <c r="V77" s="77"/>
      <c r="W77" s="77"/>
      <c r="X77" s="77"/>
      <c r="Y77" s="77"/>
      <c r="Z77" s="77"/>
      <c r="AA77" s="77"/>
      <c r="AB77" s="77"/>
      <c r="AC77" s="77"/>
      <c r="AD77" s="77"/>
      <c r="AF77" s="80"/>
      <c r="AG77" s="80"/>
      <c r="AH77" s="80"/>
      <c r="AI77" s="80"/>
      <c r="AJ77" s="80"/>
      <c r="AK77" s="80"/>
      <c r="AL77" s="80"/>
      <c r="AM77" s="80"/>
      <c r="AN77" s="80"/>
      <c r="AO77" s="80"/>
    </row>
    <row r="78" spans="1:41" x14ac:dyDescent="0.35">
      <c r="A78" s="47">
        <v>6</v>
      </c>
      <c r="B78" s="118">
        <v>46189</v>
      </c>
      <c r="C78" s="119">
        <v>1</v>
      </c>
      <c r="D78" s="119">
        <v>0.66701116999999999</v>
      </c>
      <c r="E78" s="119">
        <v>0.21079259</v>
      </c>
      <c r="F78" s="119">
        <v>1.37642588</v>
      </c>
      <c r="G78" s="119">
        <v>1.1229348800000001</v>
      </c>
      <c r="H78" s="119">
        <v>0.90888606000000005</v>
      </c>
      <c r="I78" s="119">
        <v>0.4470654</v>
      </c>
      <c r="J78" s="119">
        <v>0.27570328999999999</v>
      </c>
      <c r="K78" s="119">
        <v>0.10338903000000001</v>
      </c>
      <c r="L78" s="119">
        <v>4.5676040000000001E-2</v>
      </c>
      <c r="M78" s="2"/>
      <c r="N78" s="2"/>
      <c r="O78" s="2"/>
      <c r="P78" s="2"/>
      <c r="Q78" s="2"/>
      <c r="R78" s="2"/>
      <c r="S78" s="2"/>
      <c r="V78" s="77"/>
      <c r="W78" s="77"/>
      <c r="X78" s="77"/>
      <c r="Y78" s="77"/>
      <c r="Z78" s="77"/>
      <c r="AA78" s="77"/>
      <c r="AB78" s="77"/>
      <c r="AC78" s="77"/>
      <c r="AD78" s="77"/>
      <c r="AF78" s="80"/>
      <c r="AG78" s="80"/>
      <c r="AH78" s="80"/>
      <c r="AI78" s="80"/>
      <c r="AJ78" s="80"/>
      <c r="AK78" s="80"/>
      <c r="AL78" s="80"/>
      <c r="AM78" s="80"/>
      <c r="AN78" s="80"/>
      <c r="AO78" s="80"/>
    </row>
    <row r="79" spans="1:41" x14ac:dyDescent="0.35">
      <c r="A79" s="47">
        <v>6</v>
      </c>
      <c r="B79" s="118">
        <v>46190</v>
      </c>
      <c r="C79" s="119">
        <v>1</v>
      </c>
      <c r="D79" s="119">
        <v>0.66400373000000001</v>
      </c>
      <c r="E79" s="119">
        <v>0.20943587999999999</v>
      </c>
      <c r="F79" s="119">
        <v>1.3773123599999999</v>
      </c>
      <c r="G79" s="119">
        <v>1.12024502</v>
      </c>
      <c r="H79" s="119">
        <v>0.90427765999999998</v>
      </c>
      <c r="I79" s="119">
        <v>0.44476483999999999</v>
      </c>
      <c r="J79" s="119">
        <v>0.27397439000000001</v>
      </c>
      <c r="K79" s="119">
        <v>0.10240968</v>
      </c>
      <c r="L79" s="119">
        <v>4.5284249999999998E-2</v>
      </c>
      <c r="M79" s="2"/>
      <c r="N79" s="2"/>
      <c r="O79" s="2"/>
      <c r="P79" s="2"/>
      <c r="Q79" s="2"/>
      <c r="R79" s="2"/>
      <c r="S79" s="2"/>
      <c r="V79" s="77"/>
      <c r="W79" s="77"/>
      <c r="X79" s="77"/>
      <c r="Y79" s="77"/>
      <c r="Z79" s="77"/>
      <c r="AA79" s="77"/>
      <c r="AB79" s="77"/>
      <c r="AC79" s="77"/>
      <c r="AD79" s="77"/>
      <c r="AF79" s="80"/>
      <c r="AG79" s="80"/>
      <c r="AH79" s="80"/>
      <c r="AI79" s="80"/>
      <c r="AJ79" s="80"/>
      <c r="AK79" s="80"/>
      <c r="AL79" s="80"/>
      <c r="AM79" s="80"/>
      <c r="AN79" s="80"/>
      <c r="AO79" s="80"/>
    </row>
    <row r="80" spans="1:41" x14ac:dyDescent="0.35">
      <c r="A80" s="47">
        <v>6</v>
      </c>
      <c r="B80" s="118">
        <v>46191</v>
      </c>
      <c r="C80" s="119">
        <v>1</v>
      </c>
      <c r="D80" s="119">
        <v>0.66102662000000001</v>
      </c>
      <c r="E80" s="119">
        <v>0.20809285999999999</v>
      </c>
      <c r="F80" s="119">
        <v>1.3781988300000001</v>
      </c>
      <c r="G80" s="119">
        <v>1.1175551500000001</v>
      </c>
      <c r="H80" s="119">
        <v>0.89971572</v>
      </c>
      <c r="I80" s="119">
        <v>0.44248747999999999</v>
      </c>
      <c r="J80" s="119">
        <v>0.27226292000000002</v>
      </c>
      <c r="K80" s="119">
        <v>0.10144019999999999</v>
      </c>
      <c r="L80" s="119">
        <v>4.4896419999999999E-2</v>
      </c>
      <c r="M80" s="2"/>
      <c r="N80" s="2"/>
      <c r="O80" s="2"/>
      <c r="P80" s="2"/>
      <c r="Q80" s="2"/>
      <c r="R80" s="2"/>
      <c r="S80" s="2"/>
      <c r="V80" s="77"/>
      <c r="W80" s="77"/>
      <c r="X80" s="77"/>
      <c r="Y80" s="77"/>
      <c r="Z80" s="77"/>
      <c r="AA80" s="77"/>
      <c r="AB80" s="77"/>
      <c r="AC80" s="77"/>
      <c r="AD80" s="77"/>
      <c r="AF80" s="80"/>
      <c r="AG80" s="80"/>
      <c r="AH80" s="80"/>
      <c r="AI80" s="80"/>
      <c r="AJ80" s="80"/>
      <c r="AK80" s="80"/>
      <c r="AL80" s="80"/>
      <c r="AM80" s="80"/>
      <c r="AN80" s="80"/>
      <c r="AO80" s="80"/>
    </row>
    <row r="81" spans="1:41" x14ac:dyDescent="0.35">
      <c r="A81" s="47">
        <v>6</v>
      </c>
      <c r="B81" s="118">
        <v>46192</v>
      </c>
      <c r="C81" s="119">
        <v>1</v>
      </c>
      <c r="D81" s="119">
        <v>0.65808042</v>
      </c>
      <c r="E81" s="119">
        <v>0.20676377000000001</v>
      </c>
      <c r="F81" s="119">
        <v>1.37908531</v>
      </c>
      <c r="G81" s="119">
        <v>1.11486529</v>
      </c>
      <c r="H81" s="119">
        <v>0.89520115</v>
      </c>
      <c r="I81" s="119">
        <v>0.44023375999999997</v>
      </c>
      <c r="J81" s="119">
        <v>0.27056922</v>
      </c>
      <c r="K81" s="119">
        <v>0.10048079</v>
      </c>
      <c r="L81" s="119">
        <v>4.4512620000000003E-2</v>
      </c>
      <c r="M81" s="2"/>
      <c r="N81" s="2"/>
      <c r="O81" s="2"/>
      <c r="P81" s="2"/>
      <c r="Q81" s="2"/>
      <c r="R81" s="2"/>
      <c r="S81" s="2"/>
      <c r="V81" s="77"/>
      <c r="W81" s="77"/>
      <c r="X81" s="77"/>
      <c r="Y81" s="77"/>
      <c r="Z81" s="77"/>
      <c r="AA81" s="77"/>
      <c r="AB81" s="77"/>
      <c r="AC81" s="77"/>
      <c r="AD81" s="77"/>
      <c r="AF81" s="80"/>
      <c r="AG81" s="80"/>
      <c r="AH81" s="80"/>
      <c r="AI81" s="80"/>
      <c r="AJ81" s="80"/>
      <c r="AK81" s="80"/>
      <c r="AL81" s="80"/>
      <c r="AM81" s="80"/>
      <c r="AN81" s="80"/>
      <c r="AO81" s="80"/>
    </row>
    <row r="82" spans="1:41" x14ac:dyDescent="0.35">
      <c r="A82" s="47">
        <v>6</v>
      </c>
      <c r="B82" s="118">
        <v>46193</v>
      </c>
      <c r="C82" s="119">
        <v>0</v>
      </c>
      <c r="D82" s="119">
        <v>0.67554888000000002</v>
      </c>
      <c r="E82" s="119">
        <v>0.19675786000000001</v>
      </c>
      <c r="F82" s="119">
        <v>0.47966672999999999</v>
      </c>
      <c r="G82" s="119">
        <v>0.63367253999999995</v>
      </c>
      <c r="H82" s="119">
        <v>0.54278738000000004</v>
      </c>
      <c r="I82" s="119">
        <v>0.36867863000000001</v>
      </c>
      <c r="J82" s="119">
        <v>0.24101300000000001</v>
      </c>
      <c r="K82" s="119">
        <v>8.0999119999999994E-2</v>
      </c>
      <c r="L82" s="119">
        <v>3.5391489999999998E-2</v>
      </c>
      <c r="M82" s="2"/>
      <c r="N82" s="2"/>
      <c r="O82" s="2"/>
      <c r="P82" s="2"/>
      <c r="Q82" s="2"/>
      <c r="R82" s="2"/>
      <c r="S82" s="2"/>
      <c r="V82" s="77"/>
      <c r="W82" s="77"/>
      <c r="X82" s="77"/>
      <c r="Y82" s="77"/>
      <c r="Z82" s="77"/>
      <c r="AA82" s="77"/>
      <c r="AB82" s="77"/>
      <c r="AC82" s="77"/>
      <c r="AD82" s="77"/>
      <c r="AF82" s="80"/>
      <c r="AG82" s="80"/>
      <c r="AH82" s="80"/>
      <c r="AI82" s="80"/>
      <c r="AJ82" s="80"/>
      <c r="AK82" s="80"/>
      <c r="AL82" s="80"/>
      <c r="AM82" s="80"/>
      <c r="AN82" s="80"/>
      <c r="AO82" s="80"/>
    </row>
    <row r="83" spans="1:41" x14ac:dyDescent="0.35">
      <c r="A83" s="47">
        <v>6</v>
      </c>
      <c r="B83" s="118">
        <v>46194</v>
      </c>
      <c r="C83" s="119">
        <v>0</v>
      </c>
      <c r="D83" s="119">
        <v>0.67287419000000004</v>
      </c>
      <c r="E83" s="119">
        <v>0.19560772000000001</v>
      </c>
      <c r="F83" s="119">
        <v>0.47957738</v>
      </c>
      <c r="G83" s="119">
        <v>0.63084530000000005</v>
      </c>
      <c r="H83" s="119">
        <v>0.54076035</v>
      </c>
      <c r="I83" s="119">
        <v>0.36699561000000003</v>
      </c>
      <c r="J83" s="119">
        <v>0.23950498000000001</v>
      </c>
      <c r="K83" s="119">
        <v>8.0092280000000002E-2</v>
      </c>
      <c r="L83" s="119">
        <v>3.5004569999999999E-2</v>
      </c>
      <c r="M83" s="2"/>
      <c r="N83" s="2"/>
      <c r="O83" s="2"/>
      <c r="P83" s="2"/>
      <c r="Q83" s="2"/>
      <c r="R83" s="2"/>
      <c r="S83" s="2"/>
      <c r="V83" s="77"/>
      <c r="W83" s="77"/>
      <c r="X83" s="77"/>
      <c r="Y83" s="77"/>
      <c r="Z83" s="77"/>
      <c r="AA83" s="77"/>
      <c r="AB83" s="77"/>
      <c r="AC83" s="77"/>
      <c r="AD83" s="77"/>
      <c r="AF83" s="80"/>
      <c r="AG83" s="80"/>
      <c r="AH83" s="80"/>
      <c r="AI83" s="80"/>
      <c r="AJ83" s="80"/>
      <c r="AK83" s="80"/>
      <c r="AL83" s="80"/>
      <c r="AM83" s="80"/>
      <c r="AN83" s="80"/>
      <c r="AO83" s="80"/>
    </row>
    <row r="84" spans="1:41" x14ac:dyDescent="0.35">
      <c r="A84" s="47">
        <v>6</v>
      </c>
      <c r="B84" s="118">
        <v>46195</v>
      </c>
      <c r="C84" s="119">
        <v>1</v>
      </c>
      <c r="D84" s="119">
        <v>0.64943311999999997</v>
      </c>
      <c r="E84" s="119">
        <v>0.20286282999999999</v>
      </c>
      <c r="F84" s="119">
        <v>1.38174475</v>
      </c>
      <c r="G84" s="119">
        <v>1.1067957100000001</v>
      </c>
      <c r="H84" s="119">
        <v>0.88195060000000003</v>
      </c>
      <c r="I84" s="119">
        <v>0.43361896</v>
      </c>
      <c r="J84" s="119">
        <v>0.2655981</v>
      </c>
      <c r="K84" s="119">
        <v>9.7664860000000006E-2</v>
      </c>
      <c r="L84" s="119">
        <v>4.3386130000000002E-2</v>
      </c>
      <c r="M84" s="2"/>
      <c r="N84" s="2"/>
      <c r="O84" s="2"/>
      <c r="P84" s="2"/>
      <c r="Q84" s="2"/>
      <c r="R84" s="2"/>
      <c r="S84" s="2"/>
      <c r="V84" s="77"/>
      <c r="W84" s="77"/>
      <c r="X84" s="77"/>
      <c r="Y84" s="77"/>
      <c r="Z84" s="77"/>
      <c r="AA84" s="77"/>
      <c r="AB84" s="77"/>
      <c r="AC84" s="77"/>
      <c r="AD84" s="77"/>
      <c r="AF84" s="80"/>
      <c r="AG84" s="80"/>
      <c r="AH84" s="80"/>
      <c r="AI84" s="80"/>
      <c r="AJ84" s="80"/>
      <c r="AK84" s="80"/>
      <c r="AL84" s="80"/>
      <c r="AM84" s="80"/>
      <c r="AN84" s="80"/>
      <c r="AO84" s="80"/>
    </row>
    <row r="85" spans="1:41" x14ac:dyDescent="0.35">
      <c r="A85" s="47">
        <v>6</v>
      </c>
      <c r="B85" s="118">
        <v>46196</v>
      </c>
      <c r="C85" s="119">
        <v>1</v>
      </c>
      <c r="D85" s="119">
        <v>0.64661643999999996</v>
      </c>
      <c r="E85" s="119">
        <v>0.20159216999999999</v>
      </c>
      <c r="F85" s="119">
        <v>1.3826312199999999</v>
      </c>
      <c r="G85" s="119">
        <v>1.1041058399999999</v>
      </c>
      <c r="H85" s="119">
        <v>0.87763449000000004</v>
      </c>
      <c r="I85" s="119">
        <v>0.43146432000000001</v>
      </c>
      <c r="J85" s="119">
        <v>0.26397884999999999</v>
      </c>
      <c r="K85" s="119">
        <v>9.6747630000000001E-2</v>
      </c>
      <c r="L85" s="119">
        <v>4.3019189999999999E-2</v>
      </c>
      <c r="M85" s="2"/>
      <c r="N85" s="2"/>
      <c r="O85" s="2"/>
      <c r="P85" s="2"/>
      <c r="Q85" s="2"/>
      <c r="R85" s="2"/>
      <c r="S85" s="2"/>
      <c r="V85" s="77"/>
      <c r="W85" s="77"/>
      <c r="X85" s="77"/>
      <c r="Y85" s="77"/>
      <c r="Z85" s="77"/>
      <c r="AA85" s="77"/>
      <c r="AB85" s="77"/>
      <c r="AC85" s="77"/>
      <c r="AD85" s="77"/>
      <c r="AF85" s="80"/>
      <c r="AG85" s="80"/>
      <c r="AH85" s="80"/>
      <c r="AI85" s="80"/>
      <c r="AJ85" s="80"/>
      <c r="AK85" s="80"/>
      <c r="AL85" s="80"/>
      <c r="AM85" s="80"/>
      <c r="AN85" s="80"/>
      <c r="AO85" s="80"/>
    </row>
    <row r="86" spans="1:41" x14ac:dyDescent="0.35">
      <c r="A86" s="47">
        <v>6</v>
      </c>
      <c r="B86" s="118">
        <v>46197</v>
      </c>
      <c r="C86" s="119">
        <v>1</v>
      </c>
      <c r="D86" s="119">
        <v>0.64383362</v>
      </c>
      <c r="E86" s="119">
        <v>0.20033680000000001</v>
      </c>
      <c r="F86" s="119">
        <v>1.3835177000000001</v>
      </c>
      <c r="G86" s="119">
        <v>1.1014159800000001</v>
      </c>
      <c r="H86" s="119">
        <v>0.87337028000000005</v>
      </c>
      <c r="I86" s="119">
        <v>0.42933557999999999</v>
      </c>
      <c r="J86" s="119">
        <v>0.26237907999999999</v>
      </c>
      <c r="K86" s="119">
        <v>9.5841430000000005E-2</v>
      </c>
      <c r="L86" s="119">
        <v>4.2656670000000001E-2</v>
      </c>
      <c r="M86" s="2"/>
      <c r="N86" s="2"/>
      <c r="O86" s="2"/>
      <c r="P86" s="2"/>
      <c r="Q86" s="2"/>
      <c r="R86" s="2"/>
      <c r="S86" s="2"/>
      <c r="V86" s="77"/>
      <c r="W86" s="77"/>
      <c r="X86" s="77"/>
      <c r="Y86" s="77"/>
      <c r="Z86" s="77"/>
      <c r="AA86" s="77"/>
      <c r="AB86" s="77"/>
      <c r="AC86" s="77"/>
      <c r="AD86" s="77"/>
      <c r="AF86" s="80"/>
      <c r="AG86" s="80"/>
      <c r="AH86" s="80"/>
      <c r="AI86" s="80"/>
      <c r="AJ86" s="80"/>
      <c r="AK86" s="80"/>
      <c r="AL86" s="80"/>
      <c r="AM86" s="80"/>
      <c r="AN86" s="80"/>
      <c r="AO86" s="80"/>
    </row>
    <row r="87" spans="1:41" x14ac:dyDescent="0.35">
      <c r="A87" s="47">
        <v>6</v>
      </c>
      <c r="B87" s="118">
        <v>46198</v>
      </c>
      <c r="C87" s="119">
        <v>1</v>
      </c>
      <c r="D87" s="119">
        <v>0.64108529000000003</v>
      </c>
      <c r="E87" s="119">
        <v>0.19909698000000001</v>
      </c>
      <c r="F87" s="119">
        <v>1.38440418</v>
      </c>
      <c r="G87" s="119">
        <v>1.09872612</v>
      </c>
      <c r="H87" s="119">
        <v>0.86915891999999995</v>
      </c>
      <c r="I87" s="119">
        <v>0.42723323000000002</v>
      </c>
      <c r="J87" s="119">
        <v>0.26079912999999999</v>
      </c>
      <c r="K87" s="119">
        <v>9.4946450000000002E-2</v>
      </c>
      <c r="L87" s="119">
        <v>4.2298639999999998E-2</v>
      </c>
      <c r="M87" s="2"/>
      <c r="N87" s="2"/>
      <c r="O87" s="2"/>
      <c r="P87" s="2"/>
      <c r="Q87" s="2"/>
      <c r="R87" s="2"/>
      <c r="S87" s="2"/>
      <c r="V87" s="77"/>
      <c r="W87" s="77"/>
      <c r="X87" s="77"/>
      <c r="Y87" s="77"/>
      <c r="Z87" s="77"/>
      <c r="AA87" s="77"/>
      <c r="AB87" s="77"/>
      <c r="AC87" s="77"/>
      <c r="AD87" s="77"/>
      <c r="AF87" s="80"/>
      <c r="AG87" s="80"/>
      <c r="AH87" s="80"/>
      <c r="AI87" s="80"/>
      <c r="AJ87" s="80"/>
      <c r="AK87" s="80"/>
      <c r="AL87" s="80"/>
      <c r="AM87" s="80"/>
      <c r="AN87" s="80"/>
      <c r="AO87" s="80"/>
    </row>
    <row r="88" spans="1:41" x14ac:dyDescent="0.35">
      <c r="A88" s="47">
        <v>6</v>
      </c>
      <c r="B88" s="118">
        <v>46199</v>
      </c>
      <c r="C88" s="119">
        <v>1</v>
      </c>
      <c r="D88" s="119">
        <v>0.63837206000000002</v>
      </c>
      <c r="E88" s="119">
        <v>0.19787299</v>
      </c>
      <c r="F88" s="119">
        <v>1.3852906599999999</v>
      </c>
      <c r="G88" s="119">
        <v>1.09603626</v>
      </c>
      <c r="H88" s="119">
        <v>0.86500133000000001</v>
      </c>
      <c r="I88" s="119">
        <v>0.42515773000000001</v>
      </c>
      <c r="J88" s="119">
        <v>0.25923935999999997</v>
      </c>
      <c r="K88" s="119">
        <v>9.406291E-2</v>
      </c>
      <c r="L88" s="119">
        <v>4.194519E-2</v>
      </c>
      <c r="M88" s="2"/>
      <c r="N88" s="2"/>
      <c r="O88" s="2"/>
      <c r="P88" s="2"/>
      <c r="Q88" s="2"/>
      <c r="R88" s="2"/>
      <c r="S88" s="2"/>
      <c r="V88" s="77"/>
      <c r="W88" s="77"/>
      <c r="X88" s="77"/>
      <c r="Y88" s="77"/>
      <c r="Z88" s="77"/>
      <c r="AA88" s="77"/>
      <c r="AB88" s="77"/>
      <c r="AC88" s="77"/>
      <c r="AD88" s="77"/>
      <c r="AF88" s="80"/>
      <c r="AG88" s="80"/>
      <c r="AH88" s="80"/>
      <c r="AI88" s="80"/>
      <c r="AJ88" s="80"/>
      <c r="AK88" s="80"/>
      <c r="AL88" s="80"/>
      <c r="AM88" s="80"/>
      <c r="AN88" s="80"/>
      <c r="AO88" s="80"/>
    </row>
    <row r="89" spans="1:41" x14ac:dyDescent="0.35">
      <c r="A89" s="47">
        <v>6</v>
      </c>
      <c r="B89" s="118">
        <v>46200</v>
      </c>
      <c r="C89" s="119">
        <v>0</v>
      </c>
      <c r="D89" s="119">
        <v>0.65748225999999999</v>
      </c>
      <c r="E89" s="119">
        <v>0.18898908</v>
      </c>
      <c r="F89" s="119">
        <v>0.47904127000000002</v>
      </c>
      <c r="G89" s="119">
        <v>0.61388187000000005</v>
      </c>
      <c r="H89" s="119">
        <v>0.52909547999999995</v>
      </c>
      <c r="I89" s="119">
        <v>0.35731046</v>
      </c>
      <c r="J89" s="119">
        <v>0.23082680999999999</v>
      </c>
      <c r="K89" s="119">
        <v>7.4873729999999999E-2</v>
      </c>
      <c r="L89" s="119">
        <v>3.2778010000000003E-2</v>
      </c>
      <c r="M89" s="2"/>
      <c r="N89" s="2"/>
      <c r="O89" s="2"/>
      <c r="P89" s="2"/>
      <c r="Q89" s="2"/>
      <c r="R89" s="2"/>
      <c r="S89" s="2"/>
      <c r="V89" s="77"/>
      <c r="W89" s="77"/>
      <c r="X89" s="77"/>
      <c r="Y89" s="77"/>
      <c r="Z89" s="77"/>
      <c r="AA89" s="77"/>
      <c r="AB89" s="77"/>
      <c r="AC89" s="77"/>
      <c r="AD89" s="77"/>
      <c r="AF89" s="80"/>
      <c r="AG89" s="80"/>
      <c r="AH89" s="80"/>
      <c r="AI89" s="80"/>
      <c r="AJ89" s="80"/>
      <c r="AK89" s="80"/>
      <c r="AL89" s="80"/>
      <c r="AM89" s="80"/>
      <c r="AN89" s="80"/>
      <c r="AO89" s="80"/>
    </row>
    <row r="90" spans="1:41" x14ac:dyDescent="0.35">
      <c r="A90" s="47">
        <v>6</v>
      </c>
      <c r="B90" s="118">
        <v>46201</v>
      </c>
      <c r="C90" s="119">
        <v>0</v>
      </c>
      <c r="D90" s="119">
        <v>0.65503162000000004</v>
      </c>
      <c r="E90" s="119">
        <v>0.18793528000000001</v>
      </c>
      <c r="F90" s="119">
        <v>0.47895191999999998</v>
      </c>
      <c r="G90" s="119">
        <v>0.61105463000000004</v>
      </c>
      <c r="H90" s="119">
        <v>0.52723823999999997</v>
      </c>
      <c r="I90" s="119">
        <v>0.35576843000000002</v>
      </c>
      <c r="J90" s="119">
        <v>0.22944511000000001</v>
      </c>
      <c r="K90" s="119">
        <v>7.4042849999999993E-2</v>
      </c>
      <c r="L90" s="119">
        <v>3.2423500000000001E-2</v>
      </c>
      <c r="M90" s="2"/>
      <c r="N90" s="2"/>
      <c r="O90" s="2"/>
      <c r="P90" s="2"/>
      <c r="Q90" s="2"/>
      <c r="R90" s="2"/>
      <c r="S90" s="2"/>
      <c r="V90" s="77"/>
      <c r="W90" s="77"/>
      <c r="X90" s="77"/>
      <c r="Y90" s="77"/>
      <c r="Z90" s="77"/>
      <c r="AA90" s="77"/>
      <c r="AB90" s="77"/>
      <c r="AC90" s="77"/>
      <c r="AD90" s="77"/>
      <c r="AF90" s="80"/>
      <c r="AG90" s="80"/>
      <c r="AH90" s="80"/>
      <c r="AI90" s="80"/>
      <c r="AJ90" s="80"/>
      <c r="AK90" s="80"/>
      <c r="AL90" s="80"/>
      <c r="AM90" s="80"/>
      <c r="AN90" s="80"/>
      <c r="AO90" s="80"/>
    </row>
    <row r="91" spans="1:41" x14ac:dyDescent="0.35">
      <c r="A91" s="47">
        <v>6</v>
      </c>
      <c r="B91" s="118">
        <v>46202</v>
      </c>
      <c r="C91" s="119">
        <v>1</v>
      </c>
      <c r="D91" s="119">
        <v>0.63044920000000004</v>
      </c>
      <c r="E91" s="119">
        <v>0.19429885999999999</v>
      </c>
      <c r="F91" s="119">
        <v>1.3879500899999999</v>
      </c>
      <c r="G91" s="119">
        <v>1.0879666699999999</v>
      </c>
      <c r="H91" s="119">
        <v>0.85286086999999999</v>
      </c>
      <c r="I91" s="119">
        <v>0.41909709000000001</v>
      </c>
      <c r="J91" s="119">
        <v>0.25468469999999999</v>
      </c>
      <c r="K91" s="119">
        <v>9.1482889999999997E-2</v>
      </c>
      <c r="L91" s="119">
        <v>4.0913070000000003E-2</v>
      </c>
      <c r="M91" s="2"/>
      <c r="N91" s="2"/>
      <c r="O91" s="2"/>
      <c r="P91" s="2"/>
      <c r="Q91" s="2"/>
      <c r="R91" s="2"/>
      <c r="S91" s="2"/>
      <c r="V91" s="77"/>
      <c r="W91" s="77"/>
      <c r="X91" s="77"/>
      <c r="Y91" s="77"/>
      <c r="Z91" s="77"/>
      <c r="AA91" s="77"/>
      <c r="AB91" s="77"/>
      <c r="AC91" s="77"/>
      <c r="AD91" s="77"/>
      <c r="AF91" s="80"/>
      <c r="AG91" s="80"/>
      <c r="AH91" s="80"/>
      <c r="AI91" s="80"/>
      <c r="AJ91" s="80"/>
      <c r="AK91" s="80"/>
      <c r="AL91" s="80"/>
      <c r="AM91" s="80"/>
      <c r="AN91" s="80"/>
      <c r="AO91" s="80"/>
    </row>
    <row r="92" spans="1:41" x14ac:dyDescent="0.35">
      <c r="A92" s="47">
        <v>6</v>
      </c>
      <c r="B92" s="118">
        <v>46203</v>
      </c>
      <c r="C92" s="119">
        <v>1</v>
      </c>
      <c r="D92" s="119">
        <v>0.62788266000000004</v>
      </c>
      <c r="E92" s="119">
        <v>0.19314105000000001</v>
      </c>
      <c r="F92" s="119">
        <v>1.38883657</v>
      </c>
      <c r="G92" s="119">
        <v>1.0852768100000001</v>
      </c>
      <c r="H92" s="119">
        <v>0.84892805999999998</v>
      </c>
      <c r="I92" s="119">
        <v>0.41713379</v>
      </c>
      <c r="J92" s="119">
        <v>0.25320925</v>
      </c>
      <c r="K92" s="119">
        <v>9.0647110000000003E-2</v>
      </c>
      <c r="L92" s="119">
        <v>4.0578719999999999E-2</v>
      </c>
      <c r="M92" s="2"/>
      <c r="N92" s="2"/>
      <c r="O92" s="2"/>
      <c r="P92" s="2"/>
      <c r="Q92" s="2"/>
      <c r="R92" s="2"/>
      <c r="S92" s="2"/>
      <c r="V92" s="77"/>
      <c r="W92" s="77"/>
      <c r="X92" s="77"/>
      <c r="Y92" s="77"/>
      <c r="Z92" s="77"/>
      <c r="AA92" s="77"/>
      <c r="AB92" s="77"/>
      <c r="AC92" s="77"/>
      <c r="AD92" s="77"/>
      <c r="AF92" s="80"/>
      <c r="AG92" s="80"/>
      <c r="AH92" s="80"/>
      <c r="AI92" s="80"/>
      <c r="AJ92" s="80"/>
      <c r="AK92" s="80"/>
      <c r="AL92" s="80"/>
      <c r="AM92" s="80"/>
      <c r="AN92" s="80"/>
      <c r="AO92" s="80"/>
    </row>
    <row r="93" spans="1:41" x14ac:dyDescent="0.35">
      <c r="A93" s="47">
        <v>7</v>
      </c>
      <c r="B93" s="118">
        <v>46204</v>
      </c>
      <c r="C93" s="119">
        <v>1</v>
      </c>
      <c r="D93" s="119">
        <v>0.62535439999999998</v>
      </c>
      <c r="E93" s="119">
        <v>0.19200051000000001</v>
      </c>
      <c r="F93" s="119">
        <v>1.38972304</v>
      </c>
      <c r="G93" s="119">
        <v>1.08258695</v>
      </c>
      <c r="H93" s="119">
        <v>0.84505392000000001</v>
      </c>
      <c r="I93" s="119">
        <v>0.41519979000000001</v>
      </c>
      <c r="J93" s="119">
        <v>0.25175582000000002</v>
      </c>
      <c r="K93" s="119">
        <v>8.9823799999999995E-2</v>
      </c>
      <c r="L93" s="119">
        <v>4.024937E-2</v>
      </c>
      <c r="M93" s="2"/>
      <c r="N93" s="2"/>
      <c r="O93" s="2"/>
      <c r="P93" s="2"/>
      <c r="Q93" s="2"/>
      <c r="R93" s="2"/>
      <c r="S93" s="2"/>
      <c r="V93" s="77"/>
      <c r="W93" s="77"/>
      <c r="X93" s="77"/>
      <c r="Y93" s="77"/>
      <c r="Z93" s="77"/>
      <c r="AA93" s="77"/>
      <c r="AB93" s="77"/>
      <c r="AC93" s="77"/>
      <c r="AD93" s="77"/>
      <c r="AF93" s="80"/>
      <c r="AG93" s="80"/>
      <c r="AH93" s="80"/>
      <c r="AI93" s="80"/>
      <c r="AJ93" s="80"/>
      <c r="AK93" s="80"/>
      <c r="AL93" s="80"/>
      <c r="AM93" s="80"/>
      <c r="AN93" s="80"/>
      <c r="AO93" s="80"/>
    </row>
    <row r="94" spans="1:41" x14ac:dyDescent="0.35">
      <c r="A94" s="47">
        <v>7</v>
      </c>
      <c r="B94" s="118">
        <v>46205</v>
      </c>
      <c r="C94" s="119">
        <v>1</v>
      </c>
      <c r="D94" s="119">
        <v>0.62286507999999996</v>
      </c>
      <c r="E94" s="119">
        <v>0.19087752999999999</v>
      </c>
      <c r="F94" s="119">
        <v>1.3906095199999999</v>
      </c>
      <c r="G94" s="119">
        <v>1.0798970800000001</v>
      </c>
      <c r="H94" s="119">
        <v>0.84123945</v>
      </c>
      <c r="I94" s="119">
        <v>0.41329557</v>
      </c>
      <c r="J94" s="119">
        <v>0.25032476999999997</v>
      </c>
      <c r="K94" s="119">
        <v>8.9013170000000003E-2</v>
      </c>
      <c r="L94" s="119">
        <v>3.9925080000000002E-2</v>
      </c>
      <c r="M94" s="2"/>
      <c r="N94" s="2"/>
      <c r="O94" s="2"/>
      <c r="P94" s="2"/>
      <c r="Q94" s="2"/>
      <c r="R94" s="2"/>
      <c r="S94" s="2"/>
      <c r="V94" s="77"/>
      <c r="W94" s="77"/>
      <c r="X94" s="77"/>
      <c r="Y94" s="77"/>
      <c r="Z94" s="77"/>
      <c r="AA94" s="77"/>
      <c r="AB94" s="77"/>
      <c r="AC94" s="77"/>
      <c r="AD94" s="77"/>
      <c r="AF94" s="80"/>
      <c r="AG94" s="80"/>
      <c r="AH94" s="80"/>
      <c r="AI94" s="80"/>
      <c r="AJ94" s="80"/>
      <c r="AK94" s="80"/>
      <c r="AL94" s="80"/>
      <c r="AM94" s="80"/>
      <c r="AN94" s="80"/>
      <c r="AO94" s="80"/>
    </row>
    <row r="95" spans="1:41" x14ac:dyDescent="0.35">
      <c r="A95" s="47">
        <v>7</v>
      </c>
      <c r="B95" s="118">
        <v>46206</v>
      </c>
      <c r="C95" s="119">
        <v>1</v>
      </c>
      <c r="D95" s="119">
        <v>0.62041537999999996</v>
      </c>
      <c r="E95" s="119">
        <v>0.18977242999999999</v>
      </c>
      <c r="F95" s="119">
        <v>1.3914960000000001</v>
      </c>
      <c r="G95" s="119">
        <v>1.07720722</v>
      </c>
      <c r="H95" s="119">
        <v>0.83748568999999995</v>
      </c>
      <c r="I95" s="119">
        <v>0.41142165000000003</v>
      </c>
      <c r="J95" s="119">
        <v>0.24891650000000001</v>
      </c>
      <c r="K95" s="119">
        <v>8.8215440000000006E-2</v>
      </c>
      <c r="L95" s="119">
        <v>3.9605950000000001E-2</v>
      </c>
      <c r="M95" s="2"/>
      <c r="N95" s="2"/>
      <c r="O95" s="2"/>
      <c r="P95" s="2"/>
      <c r="Q95" s="2"/>
      <c r="R95" s="2"/>
      <c r="S95" s="2"/>
      <c r="V95" s="77"/>
      <c r="W95" s="77"/>
      <c r="X95" s="77"/>
      <c r="Y95" s="77"/>
      <c r="Z95" s="77"/>
      <c r="AA95" s="77"/>
      <c r="AB95" s="77"/>
      <c r="AC95" s="77"/>
      <c r="AD95" s="77"/>
      <c r="AF95" s="80"/>
      <c r="AG95" s="80"/>
      <c r="AH95" s="80"/>
      <c r="AI95" s="80"/>
      <c r="AJ95" s="80"/>
      <c r="AK95" s="80"/>
      <c r="AL95" s="80"/>
      <c r="AM95" s="80"/>
      <c r="AN95" s="80"/>
      <c r="AO95" s="80"/>
    </row>
    <row r="96" spans="1:41" x14ac:dyDescent="0.35">
      <c r="A96" s="47">
        <v>7</v>
      </c>
      <c r="B96" s="118">
        <v>46207</v>
      </c>
      <c r="C96" s="119">
        <v>0</v>
      </c>
      <c r="D96" s="119">
        <v>0.64106965000000005</v>
      </c>
      <c r="E96" s="119">
        <v>0.18193152000000001</v>
      </c>
      <c r="F96" s="119">
        <v>0.4784158</v>
      </c>
      <c r="G96" s="119">
        <v>0.59409120000000004</v>
      </c>
      <c r="H96" s="119">
        <v>0.51665707999999999</v>
      </c>
      <c r="I96" s="119">
        <v>0.34698306000000001</v>
      </c>
      <c r="J96" s="119">
        <v>0.22157317000000001</v>
      </c>
      <c r="K96" s="119">
        <v>6.9309120000000002E-2</v>
      </c>
      <c r="L96" s="119">
        <v>3.040379E-2</v>
      </c>
      <c r="M96" s="2"/>
      <c r="N96" s="2"/>
      <c r="O96" s="2"/>
      <c r="P96" s="2"/>
      <c r="Q96" s="2"/>
      <c r="R96" s="2"/>
      <c r="S96" s="2"/>
      <c r="V96" s="77"/>
      <c r="W96" s="77"/>
      <c r="X96" s="77"/>
      <c r="Y96" s="77"/>
      <c r="Z96" s="77"/>
      <c r="AA96" s="77"/>
      <c r="AB96" s="77"/>
      <c r="AC96" s="77"/>
      <c r="AD96" s="77"/>
      <c r="AF96" s="80"/>
      <c r="AG96" s="80"/>
      <c r="AH96" s="80"/>
      <c r="AI96" s="80"/>
      <c r="AJ96" s="80"/>
      <c r="AK96" s="80"/>
      <c r="AL96" s="80"/>
      <c r="AM96" s="80"/>
      <c r="AN96" s="80"/>
      <c r="AO96" s="80"/>
    </row>
    <row r="97" spans="1:41" x14ac:dyDescent="0.35">
      <c r="A97" s="47">
        <v>7</v>
      </c>
      <c r="B97" s="118">
        <v>46208</v>
      </c>
      <c r="C97" s="119">
        <v>0</v>
      </c>
      <c r="D97" s="119">
        <v>0.63887205999999996</v>
      </c>
      <c r="E97" s="119">
        <v>0.18098654</v>
      </c>
      <c r="F97" s="119">
        <v>0.47832645000000001</v>
      </c>
      <c r="G97" s="119">
        <v>0.59126396000000003</v>
      </c>
      <c r="H97" s="119">
        <v>0.51499161999999998</v>
      </c>
      <c r="I97" s="119">
        <v>0.34560025999999999</v>
      </c>
      <c r="J97" s="119">
        <v>0.22033414000000001</v>
      </c>
      <c r="K97" s="119">
        <v>6.8564040000000007E-2</v>
      </c>
      <c r="L97" s="119">
        <v>3.0085890000000001E-2</v>
      </c>
      <c r="M97" s="2"/>
      <c r="N97" s="2"/>
      <c r="O97" s="2"/>
      <c r="P97" s="2"/>
      <c r="Q97" s="2"/>
      <c r="R97" s="2"/>
      <c r="S97" s="2"/>
      <c r="V97" s="77"/>
      <c r="W97" s="77"/>
      <c r="X97" s="77"/>
      <c r="Y97" s="77"/>
      <c r="Z97" s="77"/>
      <c r="AA97" s="77"/>
      <c r="AB97" s="77"/>
      <c r="AC97" s="77"/>
      <c r="AD97" s="77"/>
      <c r="AF97" s="80"/>
      <c r="AG97" s="80"/>
      <c r="AH97" s="80"/>
      <c r="AI97" s="80"/>
      <c r="AJ97" s="80"/>
      <c r="AK97" s="80"/>
      <c r="AL97" s="80"/>
      <c r="AM97" s="80"/>
      <c r="AN97" s="80"/>
      <c r="AO97" s="80"/>
    </row>
    <row r="98" spans="1:41" x14ac:dyDescent="0.35">
      <c r="A98" s="47">
        <v>7</v>
      </c>
      <c r="B98" s="118">
        <v>46209</v>
      </c>
      <c r="C98" s="119">
        <v>1</v>
      </c>
      <c r="D98" s="119">
        <v>0.61331075999999995</v>
      </c>
      <c r="E98" s="119">
        <v>0.18656742000000001</v>
      </c>
      <c r="F98" s="119">
        <v>1.3941554300000001</v>
      </c>
      <c r="G98" s="119">
        <v>1.0691376299999999</v>
      </c>
      <c r="H98" s="119">
        <v>0.82659903000000001</v>
      </c>
      <c r="I98" s="119">
        <v>0.40598693000000002</v>
      </c>
      <c r="J98" s="119">
        <v>0.24483221999999999</v>
      </c>
      <c r="K98" s="119">
        <v>8.590188E-2</v>
      </c>
      <c r="L98" s="119">
        <v>3.8680430000000002E-2</v>
      </c>
      <c r="M98" s="2"/>
      <c r="N98" s="2"/>
      <c r="O98" s="2"/>
      <c r="P98" s="2"/>
      <c r="Q98" s="2"/>
      <c r="R98" s="2"/>
      <c r="S98" s="2"/>
      <c r="V98" s="77"/>
      <c r="W98" s="77"/>
      <c r="X98" s="77"/>
      <c r="Y98" s="77"/>
      <c r="Z98" s="77"/>
      <c r="AA98" s="77"/>
      <c r="AB98" s="77"/>
      <c r="AC98" s="77"/>
      <c r="AD98" s="77"/>
      <c r="AF98" s="80"/>
      <c r="AG98" s="80"/>
      <c r="AH98" s="80"/>
      <c r="AI98" s="80"/>
      <c r="AJ98" s="80"/>
      <c r="AK98" s="80"/>
      <c r="AL98" s="80"/>
      <c r="AM98" s="80"/>
      <c r="AN98" s="80"/>
      <c r="AO98" s="80"/>
    </row>
    <row r="99" spans="1:41" x14ac:dyDescent="0.35">
      <c r="A99" s="47">
        <v>7</v>
      </c>
      <c r="B99" s="118">
        <v>46210</v>
      </c>
      <c r="C99" s="119">
        <v>1</v>
      </c>
      <c r="D99" s="119">
        <v>0.61102637000000004</v>
      </c>
      <c r="E99" s="119">
        <v>0.18553687999999999</v>
      </c>
      <c r="F99" s="119">
        <v>1.39504191</v>
      </c>
      <c r="G99" s="119">
        <v>1.0664477699999999</v>
      </c>
      <c r="H99" s="119">
        <v>0.82309856999999997</v>
      </c>
      <c r="I99" s="119">
        <v>0.40423946999999999</v>
      </c>
      <c r="J99" s="119">
        <v>0.24351898</v>
      </c>
      <c r="K99" s="119">
        <v>8.5157979999999994E-2</v>
      </c>
      <c r="L99" s="119">
        <v>3.8382840000000001E-2</v>
      </c>
      <c r="M99" s="2"/>
      <c r="N99" s="2"/>
      <c r="O99" s="2"/>
      <c r="P99" s="2"/>
      <c r="Q99" s="2"/>
      <c r="R99" s="2"/>
      <c r="S99" s="2"/>
      <c r="V99" s="77"/>
      <c r="W99" s="77"/>
      <c r="X99" s="77"/>
      <c r="Y99" s="77"/>
      <c r="Z99" s="77"/>
      <c r="AA99" s="77"/>
      <c r="AB99" s="77"/>
      <c r="AC99" s="77"/>
      <c r="AD99" s="77"/>
      <c r="AF99" s="80"/>
      <c r="AG99" s="80"/>
      <c r="AH99" s="80"/>
      <c r="AI99" s="80"/>
      <c r="AJ99" s="80"/>
      <c r="AK99" s="80"/>
      <c r="AL99" s="80"/>
      <c r="AM99" s="80"/>
      <c r="AN99" s="80"/>
      <c r="AO99" s="80"/>
    </row>
    <row r="100" spans="1:41" x14ac:dyDescent="0.35">
      <c r="A100" s="47">
        <v>7</v>
      </c>
      <c r="B100" s="118">
        <v>46211</v>
      </c>
      <c r="C100" s="119">
        <v>1</v>
      </c>
      <c r="D100" s="119">
        <v>0.60878505000000005</v>
      </c>
      <c r="E100" s="119">
        <v>0.18452579</v>
      </c>
      <c r="F100" s="119">
        <v>1.3959283899999999</v>
      </c>
      <c r="G100" s="119">
        <v>1.0637579100000001</v>
      </c>
      <c r="H100" s="119">
        <v>0.81966412</v>
      </c>
      <c r="I100" s="119">
        <v>0.40252495999999999</v>
      </c>
      <c r="J100" s="119">
        <v>0.24223049999999999</v>
      </c>
      <c r="K100" s="119">
        <v>8.4428110000000001E-2</v>
      </c>
      <c r="L100" s="119">
        <v>3.8090859999999997E-2</v>
      </c>
      <c r="M100" s="2"/>
      <c r="N100" s="2"/>
      <c r="O100" s="2"/>
      <c r="P100" s="2"/>
      <c r="Q100" s="2"/>
      <c r="R100" s="2"/>
      <c r="S100" s="2"/>
      <c r="V100" s="77"/>
      <c r="W100" s="77"/>
      <c r="X100" s="77"/>
      <c r="Y100" s="77"/>
      <c r="Z100" s="77"/>
      <c r="AA100" s="77"/>
      <c r="AB100" s="77"/>
      <c r="AC100" s="77"/>
      <c r="AD100" s="77"/>
      <c r="AF100" s="80"/>
      <c r="AG100" s="80"/>
      <c r="AH100" s="80"/>
      <c r="AI100" s="80"/>
      <c r="AJ100" s="80"/>
      <c r="AK100" s="80"/>
      <c r="AL100" s="80"/>
      <c r="AM100" s="80"/>
      <c r="AN100" s="80"/>
      <c r="AO100" s="80"/>
    </row>
    <row r="101" spans="1:41" x14ac:dyDescent="0.35">
      <c r="A101" s="47">
        <v>7</v>
      </c>
      <c r="B101" s="118">
        <v>46212</v>
      </c>
      <c r="C101" s="119">
        <v>1</v>
      </c>
      <c r="D101" s="119">
        <v>0.60658752000000005</v>
      </c>
      <c r="E101" s="119">
        <v>0.18353444999999999</v>
      </c>
      <c r="F101" s="119">
        <v>1.39681487</v>
      </c>
      <c r="G101" s="119">
        <v>1.06106805</v>
      </c>
      <c r="H101" s="119">
        <v>0.81629678000000006</v>
      </c>
      <c r="I101" s="119">
        <v>0.40084395</v>
      </c>
      <c r="J101" s="119">
        <v>0.24096719999999999</v>
      </c>
      <c r="K101" s="119">
        <v>8.3712499999999995E-2</v>
      </c>
      <c r="L101" s="119">
        <v>3.7804589999999999E-2</v>
      </c>
      <c r="M101" s="2"/>
      <c r="N101" s="2"/>
      <c r="O101" s="2"/>
      <c r="P101" s="2"/>
      <c r="Q101" s="2"/>
      <c r="R101" s="2"/>
      <c r="S101" s="2"/>
      <c r="V101" s="77"/>
      <c r="W101" s="77"/>
      <c r="X101" s="77"/>
      <c r="Y101" s="77"/>
      <c r="Z101" s="77"/>
      <c r="AA101" s="77"/>
      <c r="AB101" s="77"/>
      <c r="AC101" s="77"/>
      <c r="AD101" s="77"/>
      <c r="AF101" s="80"/>
      <c r="AG101" s="80"/>
      <c r="AH101" s="80"/>
      <c r="AI101" s="80"/>
      <c r="AJ101" s="80"/>
      <c r="AK101" s="80"/>
      <c r="AL101" s="80"/>
      <c r="AM101" s="80"/>
      <c r="AN101" s="80"/>
      <c r="AO101" s="80"/>
    </row>
    <row r="102" spans="1:41" x14ac:dyDescent="0.35">
      <c r="A102" s="47">
        <v>7</v>
      </c>
      <c r="B102" s="118">
        <v>46213</v>
      </c>
      <c r="C102" s="119">
        <v>1</v>
      </c>
      <c r="D102" s="119">
        <v>0.60443451999999998</v>
      </c>
      <c r="E102" s="119">
        <v>0.18256318999999999</v>
      </c>
      <c r="F102" s="119">
        <v>1.39770134</v>
      </c>
      <c r="G102" s="119">
        <v>1.05837819</v>
      </c>
      <c r="H102" s="119">
        <v>0.81299765000000002</v>
      </c>
      <c r="I102" s="119">
        <v>0.39919698999999997</v>
      </c>
      <c r="J102" s="119">
        <v>0.23972948999999999</v>
      </c>
      <c r="K102" s="119">
        <v>8.3011390000000004E-2</v>
      </c>
      <c r="L102" s="119">
        <v>3.7524109999999999E-2</v>
      </c>
      <c r="M102" s="2"/>
      <c r="N102" s="2"/>
      <c r="O102" s="2"/>
      <c r="P102" s="2"/>
      <c r="Q102" s="2"/>
      <c r="R102" s="2"/>
      <c r="S102" s="2"/>
      <c r="V102" s="77"/>
      <c r="W102" s="77"/>
      <c r="X102" s="77"/>
      <c r="Y102" s="77"/>
      <c r="Z102" s="77"/>
      <c r="AA102" s="77"/>
      <c r="AB102" s="77"/>
      <c r="AC102" s="77"/>
      <c r="AD102" s="77"/>
      <c r="AF102" s="80"/>
      <c r="AG102" s="80"/>
      <c r="AH102" s="80"/>
      <c r="AI102" s="80"/>
      <c r="AJ102" s="80"/>
      <c r="AK102" s="80"/>
      <c r="AL102" s="80"/>
      <c r="AM102" s="80"/>
      <c r="AN102" s="80"/>
      <c r="AO102" s="80"/>
    </row>
    <row r="103" spans="1:41" x14ac:dyDescent="0.35">
      <c r="A103" s="47">
        <v>7</v>
      </c>
      <c r="B103" s="118">
        <v>46214</v>
      </c>
      <c r="C103" s="119">
        <v>0</v>
      </c>
      <c r="D103" s="119">
        <v>0.62652147000000002</v>
      </c>
      <c r="E103" s="119">
        <v>0.17567569</v>
      </c>
      <c r="F103" s="119">
        <v>0.47779032999999999</v>
      </c>
      <c r="G103" s="119">
        <v>0.57430053000000003</v>
      </c>
      <c r="H103" s="119">
        <v>0.50563164999999999</v>
      </c>
      <c r="I103" s="119">
        <v>0.33782881999999997</v>
      </c>
      <c r="J103" s="119">
        <v>0.21337072000000001</v>
      </c>
      <c r="K103" s="119">
        <v>6.4376639999999999E-2</v>
      </c>
      <c r="L103" s="119">
        <v>2.829928E-2</v>
      </c>
      <c r="M103" s="2"/>
      <c r="N103" s="2"/>
      <c r="O103" s="2"/>
      <c r="P103" s="2"/>
      <c r="Q103" s="2"/>
      <c r="R103" s="2"/>
      <c r="S103" s="2"/>
      <c r="V103" s="77"/>
      <c r="W103" s="77"/>
      <c r="X103" s="77"/>
      <c r="Y103" s="77"/>
      <c r="Z103" s="77"/>
      <c r="AA103" s="77"/>
      <c r="AB103" s="77"/>
      <c r="AC103" s="77"/>
      <c r="AD103" s="77"/>
      <c r="AF103" s="80"/>
      <c r="AG103" s="80"/>
      <c r="AH103" s="80"/>
      <c r="AI103" s="80"/>
      <c r="AJ103" s="80"/>
      <c r="AK103" s="80"/>
      <c r="AL103" s="80"/>
      <c r="AM103" s="80"/>
      <c r="AN103" s="80"/>
      <c r="AO103" s="80"/>
    </row>
    <row r="104" spans="1:41" x14ac:dyDescent="0.35">
      <c r="A104" s="47">
        <v>7</v>
      </c>
      <c r="B104" s="118">
        <v>46215</v>
      </c>
      <c r="C104" s="119">
        <v>0</v>
      </c>
      <c r="D104" s="119">
        <v>0.62460842999999999</v>
      </c>
      <c r="E104" s="119">
        <v>0.17485307</v>
      </c>
      <c r="F104" s="119">
        <v>0.47770098</v>
      </c>
      <c r="G104" s="119">
        <v>0.57147329000000002</v>
      </c>
      <c r="H104" s="119">
        <v>0.50418183999999999</v>
      </c>
      <c r="I104" s="119">
        <v>0.33662507000000003</v>
      </c>
      <c r="J104" s="119">
        <v>0.21229212</v>
      </c>
      <c r="K104" s="119">
        <v>6.372804E-2</v>
      </c>
      <c r="L104" s="119">
        <v>2.8022539999999999E-2</v>
      </c>
      <c r="M104" s="2"/>
      <c r="N104" s="2"/>
      <c r="O104" s="2"/>
      <c r="P104" s="2"/>
      <c r="Q104" s="2"/>
      <c r="R104" s="2"/>
      <c r="S104" s="2"/>
      <c r="V104" s="77"/>
      <c r="W104" s="77"/>
      <c r="X104" s="77"/>
      <c r="Y104" s="77"/>
      <c r="Z104" s="77"/>
      <c r="AA104" s="77"/>
      <c r="AB104" s="77"/>
      <c r="AC104" s="77"/>
      <c r="AD104" s="77"/>
      <c r="AF104" s="80"/>
      <c r="AG104" s="80"/>
      <c r="AH104" s="80"/>
      <c r="AI104" s="80"/>
      <c r="AJ104" s="80"/>
      <c r="AK104" s="80"/>
      <c r="AL104" s="80"/>
      <c r="AM104" s="80"/>
      <c r="AN104" s="80"/>
      <c r="AO104" s="80"/>
    </row>
    <row r="105" spans="1:41" x14ac:dyDescent="0.35">
      <c r="A105" s="47">
        <v>7</v>
      </c>
      <c r="B105" s="118">
        <v>46216</v>
      </c>
      <c r="C105" s="119">
        <v>1</v>
      </c>
      <c r="D105" s="119">
        <v>0.59824997000000002</v>
      </c>
      <c r="E105" s="119">
        <v>0.17977323000000001</v>
      </c>
      <c r="F105" s="119">
        <v>1.40036078</v>
      </c>
      <c r="G105" s="119">
        <v>1.0503085999999999</v>
      </c>
      <c r="H105" s="119">
        <v>0.80352084999999995</v>
      </c>
      <c r="I105" s="119">
        <v>0.39446608</v>
      </c>
      <c r="J105" s="119">
        <v>0.23617414</v>
      </c>
      <c r="K105" s="119">
        <v>8.0997440000000004E-2</v>
      </c>
      <c r="L105" s="119">
        <v>3.6718439999999998E-2</v>
      </c>
      <c r="M105" s="2"/>
      <c r="N105" s="2"/>
      <c r="O105" s="2"/>
      <c r="P105" s="2"/>
      <c r="Q105" s="2"/>
      <c r="R105" s="2"/>
      <c r="S105" s="2"/>
      <c r="V105" s="77"/>
      <c r="W105" s="77"/>
      <c r="X105" s="77"/>
      <c r="Y105" s="77"/>
      <c r="Z105" s="77"/>
      <c r="AA105" s="77"/>
      <c r="AB105" s="77"/>
      <c r="AC105" s="77"/>
      <c r="AD105" s="77"/>
      <c r="AF105" s="80"/>
      <c r="AG105" s="80"/>
      <c r="AH105" s="80"/>
      <c r="AI105" s="80"/>
      <c r="AJ105" s="80"/>
      <c r="AK105" s="80"/>
      <c r="AL105" s="80"/>
      <c r="AM105" s="80"/>
      <c r="AN105" s="80"/>
      <c r="AO105" s="80"/>
    </row>
    <row r="106" spans="1:41" x14ac:dyDescent="0.35">
      <c r="A106" s="47">
        <v>7</v>
      </c>
      <c r="B106" s="118">
        <v>46217</v>
      </c>
      <c r="C106" s="119">
        <v>0</v>
      </c>
      <c r="D106" s="119">
        <v>0.62091311999999999</v>
      </c>
      <c r="E106" s="119">
        <v>0.17326406</v>
      </c>
      <c r="F106" s="119">
        <v>0.47752228000000002</v>
      </c>
      <c r="G106" s="119">
        <v>0.56581881000000001</v>
      </c>
      <c r="H106" s="119">
        <v>0.50138132999999996</v>
      </c>
      <c r="I106" s="119">
        <v>0.33429985000000001</v>
      </c>
      <c r="J106" s="119">
        <v>0.21020866999999999</v>
      </c>
      <c r="K106" s="119">
        <v>6.2475169999999997E-2</v>
      </c>
      <c r="L106" s="119">
        <v>2.748799E-2</v>
      </c>
      <c r="M106" s="2"/>
      <c r="N106" s="2"/>
      <c r="O106" s="2"/>
      <c r="P106" s="2"/>
      <c r="Q106" s="2"/>
      <c r="R106" s="2"/>
      <c r="S106" s="2"/>
      <c r="V106" s="77"/>
      <c r="W106" s="77"/>
      <c r="X106" s="77"/>
      <c r="Y106" s="77"/>
      <c r="Z106" s="77"/>
      <c r="AA106" s="77"/>
      <c r="AB106" s="77"/>
      <c r="AC106" s="77"/>
      <c r="AD106" s="77"/>
      <c r="AF106" s="80"/>
      <c r="AG106" s="80"/>
      <c r="AH106" s="80"/>
      <c r="AI106" s="80"/>
      <c r="AJ106" s="80"/>
      <c r="AK106" s="80"/>
      <c r="AL106" s="80"/>
      <c r="AM106" s="80"/>
      <c r="AN106" s="80"/>
      <c r="AO106" s="80"/>
    </row>
    <row r="107" spans="1:41" x14ac:dyDescent="0.35">
      <c r="A107" s="47">
        <v>7</v>
      </c>
      <c r="B107" s="118">
        <v>46218</v>
      </c>
      <c r="C107" s="119">
        <v>1</v>
      </c>
      <c r="D107" s="119">
        <v>0.59436310000000003</v>
      </c>
      <c r="E107" s="119">
        <v>0.17801980000000001</v>
      </c>
      <c r="F107" s="119">
        <v>1.4021337300000001</v>
      </c>
      <c r="G107" s="119">
        <v>1.0449288699999999</v>
      </c>
      <c r="H107" s="119">
        <v>0.79756486000000004</v>
      </c>
      <c r="I107" s="119">
        <v>0.39149279999999997</v>
      </c>
      <c r="J107" s="119">
        <v>0.23393966999999999</v>
      </c>
      <c r="K107" s="119">
        <v>7.9731709999999997E-2</v>
      </c>
      <c r="L107" s="119">
        <v>3.6212099999999997E-2</v>
      </c>
      <c r="M107" s="2"/>
      <c r="N107" s="2"/>
      <c r="O107" s="2"/>
      <c r="P107" s="2"/>
      <c r="Q107" s="2"/>
      <c r="R107" s="2"/>
      <c r="S107" s="2"/>
      <c r="V107" s="77"/>
      <c r="W107" s="77"/>
      <c r="X107" s="77"/>
      <c r="Y107" s="77"/>
      <c r="Z107" s="77"/>
      <c r="AA107" s="77"/>
      <c r="AB107" s="77"/>
      <c r="AC107" s="77"/>
      <c r="AD107" s="77"/>
      <c r="AF107" s="80"/>
      <c r="AG107" s="80"/>
      <c r="AH107" s="80"/>
      <c r="AI107" s="80"/>
      <c r="AJ107" s="80"/>
      <c r="AK107" s="80"/>
      <c r="AL107" s="80"/>
      <c r="AM107" s="80"/>
      <c r="AN107" s="80"/>
      <c r="AO107" s="80"/>
    </row>
    <row r="108" spans="1:41" x14ac:dyDescent="0.35">
      <c r="A108" s="47">
        <v>7</v>
      </c>
      <c r="B108" s="118">
        <v>46219</v>
      </c>
      <c r="C108" s="119">
        <v>1</v>
      </c>
      <c r="D108" s="119">
        <v>0.59249278000000005</v>
      </c>
      <c r="E108" s="119">
        <v>0.17717606999999999</v>
      </c>
      <c r="F108" s="119">
        <v>1.4000794599999999</v>
      </c>
      <c r="G108" s="119">
        <v>1.03976337</v>
      </c>
      <c r="H108" s="119">
        <v>0.79469889999999999</v>
      </c>
      <c r="I108" s="119">
        <v>0.39006207999999998</v>
      </c>
      <c r="J108" s="119">
        <v>0.23286446999999999</v>
      </c>
      <c r="K108" s="119">
        <v>7.9122650000000003E-2</v>
      </c>
      <c r="L108" s="119">
        <v>3.5968449999999999E-2</v>
      </c>
      <c r="M108" s="2"/>
      <c r="N108" s="2"/>
      <c r="O108" s="2"/>
      <c r="P108" s="2"/>
      <c r="Q108" s="2"/>
      <c r="R108" s="2"/>
      <c r="S108" s="2"/>
      <c r="V108" s="77"/>
      <c r="W108" s="77"/>
      <c r="X108" s="77"/>
      <c r="Y108" s="77"/>
      <c r="Z108" s="77"/>
      <c r="AA108" s="77"/>
      <c r="AB108" s="77"/>
      <c r="AC108" s="77"/>
      <c r="AD108" s="77"/>
      <c r="AF108" s="80"/>
      <c r="AG108" s="80"/>
      <c r="AH108" s="80"/>
      <c r="AI108" s="80"/>
      <c r="AJ108" s="80"/>
      <c r="AK108" s="80"/>
      <c r="AL108" s="80"/>
      <c r="AM108" s="80"/>
      <c r="AN108" s="80"/>
      <c r="AO108" s="80"/>
    </row>
    <row r="109" spans="1:41" x14ac:dyDescent="0.35">
      <c r="A109" s="47">
        <v>7</v>
      </c>
      <c r="B109" s="118">
        <v>46220</v>
      </c>
      <c r="C109" s="119">
        <v>1</v>
      </c>
      <c r="D109" s="119">
        <v>0.59067221000000003</v>
      </c>
      <c r="E109" s="119">
        <v>0.17635477999999999</v>
      </c>
      <c r="F109" s="119">
        <v>1.39802519</v>
      </c>
      <c r="G109" s="119">
        <v>1.0345978600000001</v>
      </c>
      <c r="H109" s="119">
        <v>0.79190917999999999</v>
      </c>
      <c r="I109" s="119">
        <v>0.38866942999999998</v>
      </c>
      <c r="J109" s="119">
        <v>0.23181787000000001</v>
      </c>
      <c r="K109" s="119">
        <v>7.8529790000000002E-2</v>
      </c>
      <c r="L109" s="119">
        <v>3.5731279999999997E-2</v>
      </c>
      <c r="M109" s="2"/>
      <c r="N109" s="2"/>
      <c r="O109" s="2"/>
      <c r="P109" s="2"/>
      <c r="Q109" s="2"/>
      <c r="R109" s="2"/>
      <c r="S109" s="2"/>
      <c r="V109" s="77"/>
      <c r="W109" s="77"/>
      <c r="X109" s="77"/>
      <c r="Y109" s="77"/>
      <c r="Z109" s="77"/>
      <c r="AA109" s="77"/>
      <c r="AB109" s="77"/>
      <c r="AC109" s="77"/>
      <c r="AD109" s="77"/>
      <c r="AF109" s="80"/>
      <c r="AG109" s="80"/>
      <c r="AH109" s="80"/>
      <c r="AI109" s="80"/>
      <c r="AJ109" s="80"/>
      <c r="AK109" s="80"/>
      <c r="AL109" s="80"/>
      <c r="AM109" s="80"/>
      <c r="AN109" s="80"/>
      <c r="AO109" s="80"/>
    </row>
    <row r="110" spans="1:41" x14ac:dyDescent="0.35">
      <c r="A110" s="47">
        <v>7</v>
      </c>
      <c r="B110" s="118">
        <v>46221</v>
      </c>
      <c r="C110" s="119">
        <v>0</v>
      </c>
      <c r="D110" s="119">
        <v>0.61406525000000001</v>
      </c>
      <c r="E110" s="119">
        <v>0.17031942</v>
      </c>
      <c r="F110" s="119">
        <v>0.49327857000000003</v>
      </c>
      <c r="G110" s="119">
        <v>0.55607267999999999</v>
      </c>
      <c r="H110" s="119">
        <v>0.49619162</v>
      </c>
      <c r="I110" s="119">
        <v>0.32999092000000002</v>
      </c>
      <c r="J110" s="119">
        <v>0.20634774</v>
      </c>
      <c r="K110" s="119">
        <v>6.0153430000000001E-2</v>
      </c>
      <c r="L110" s="119">
        <v>2.6497389999999999E-2</v>
      </c>
      <c r="M110" s="2"/>
      <c r="N110" s="2"/>
      <c r="O110" s="2"/>
      <c r="P110" s="2"/>
      <c r="Q110" s="2"/>
      <c r="R110" s="2"/>
      <c r="S110" s="2"/>
      <c r="V110" s="77"/>
      <c r="W110" s="77"/>
      <c r="X110" s="77"/>
      <c r="Y110" s="77"/>
      <c r="Z110" s="77"/>
      <c r="AA110" s="77"/>
      <c r="AB110" s="77"/>
      <c r="AC110" s="77"/>
      <c r="AD110" s="77"/>
      <c r="AF110" s="80"/>
      <c r="AG110" s="80"/>
      <c r="AH110" s="80"/>
      <c r="AI110" s="80"/>
      <c r="AJ110" s="80"/>
      <c r="AK110" s="80"/>
      <c r="AL110" s="80"/>
      <c r="AM110" s="80"/>
      <c r="AN110" s="80"/>
      <c r="AO110" s="80"/>
    </row>
    <row r="111" spans="1:41" x14ac:dyDescent="0.35">
      <c r="A111" s="47">
        <v>7</v>
      </c>
      <c r="B111" s="118">
        <v>46222</v>
      </c>
      <c r="C111" s="119">
        <v>0</v>
      </c>
      <c r="D111" s="119">
        <v>0.61247048000000004</v>
      </c>
      <c r="E111" s="119">
        <v>0.16963365999999999</v>
      </c>
      <c r="F111" s="119">
        <v>0.49856045999999998</v>
      </c>
      <c r="G111" s="119">
        <v>0.55376639000000005</v>
      </c>
      <c r="H111" s="119">
        <v>0.49498302</v>
      </c>
      <c r="I111" s="119">
        <v>0.32898743000000003</v>
      </c>
      <c r="J111" s="119">
        <v>0.20544858999999999</v>
      </c>
      <c r="K111" s="119">
        <v>5.9612730000000003E-2</v>
      </c>
      <c r="L111" s="119">
        <v>2.6266689999999999E-2</v>
      </c>
      <c r="M111" s="2"/>
      <c r="N111" s="2"/>
      <c r="O111" s="2"/>
      <c r="P111" s="2"/>
      <c r="Q111" s="2"/>
      <c r="R111" s="2"/>
      <c r="S111" s="2"/>
      <c r="V111" s="77"/>
      <c r="W111" s="77"/>
      <c r="X111" s="77"/>
      <c r="Y111" s="77"/>
      <c r="Z111" s="77"/>
      <c r="AA111" s="77"/>
      <c r="AB111" s="77"/>
      <c r="AC111" s="77"/>
      <c r="AD111" s="77"/>
      <c r="AF111" s="80"/>
      <c r="AG111" s="80"/>
      <c r="AH111" s="80"/>
      <c r="AI111" s="80"/>
      <c r="AJ111" s="80"/>
      <c r="AK111" s="80"/>
      <c r="AL111" s="80"/>
      <c r="AM111" s="80"/>
      <c r="AN111" s="80"/>
      <c r="AO111" s="80"/>
    </row>
    <row r="112" spans="1:41" x14ac:dyDescent="0.35">
      <c r="A112" s="47">
        <v>7</v>
      </c>
      <c r="B112" s="118">
        <v>46223</v>
      </c>
      <c r="C112" s="119">
        <v>1</v>
      </c>
      <c r="D112" s="119">
        <v>0.58551671999999999</v>
      </c>
      <c r="E112" s="119">
        <v>0.17402904999999999</v>
      </c>
      <c r="F112" s="119">
        <v>1.3918623800000001</v>
      </c>
      <c r="G112" s="119">
        <v>1.01910134</v>
      </c>
      <c r="H112" s="119">
        <v>0.78400924000000005</v>
      </c>
      <c r="I112" s="119">
        <v>0.3847257</v>
      </c>
      <c r="J112" s="119">
        <v>0.2288541</v>
      </c>
      <c r="K112" s="119">
        <v>7.6850940000000006E-2</v>
      </c>
      <c r="L112" s="119">
        <v>3.5059670000000001E-2</v>
      </c>
      <c r="M112" s="2"/>
      <c r="N112" s="2"/>
      <c r="O112" s="2"/>
      <c r="P112" s="2"/>
      <c r="Q112" s="2"/>
      <c r="R112" s="2"/>
      <c r="S112" s="2"/>
      <c r="V112" s="77"/>
      <c r="W112" s="77"/>
      <c r="X112" s="77"/>
      <c r="Y112" s="77"/>
      <c r="Z112" s="77"/>
      <c r="AA112" s="77"/>
      <c r="AB112" s="77"/>
      <c r="AC112" s="77"/>
      <c r="AD112" s="77"/>
      <c r="AF112" s="80"/>
      <c r="AG112" s="80"/>
      <c r="AH112" s="80"/>
      <c r="AI112" s="80"/>
      <c r="AJ112" s="80"/>
      <c r="AK112" s="80"/>
      <c r="AL112" s="80"/>
      <c r="AM112" s="80"/>
      <c r="AN112" s="80"/>
      <c r="AO112" s="80"/>
    </row>
    <row r="113" spans="1:41" x14ac:dyDescent="0.35">
      <c r="A113" s="47">
        <v>7</v>
      </c>
      <c r="B113" s="118">
        <v>46224</v>
      </c>
      <c r="C113" s="119">
        <v>1</v>
      </c>
      <c r="D113" s="119">
        <v>0.58390286000000002</v>
      </c>
      <c r="E113" s="119">
        <v>0.17330101000000001</v>
      </c>
      <c r="F113" s="119">
        <v>1.3898081200000001</v>
      </c>
      <c r="G113" s="119">
        <v>1.0139358300000001</v>
      </c>
      <c r="H113" s="119">
        <v>0.78153625999999998</v>
      </c>
      <c r="I113" s="119">
        <v>0.38349116999999999</v>
      </c>
      <c r="J113" s="119">
        <v>0.22792633000000001</v>
      </c>
      <c r="K113" s="119">
        <v>7.6325400000000002E-2</v>
      </c>
      <c r="L113" s="119">
        <v>3.4849430000000001E-2</v>
      </c>
      <c r="M113" s="2"/>
      <c r="N113" s="2"/>
      <c r="O113" s="2"/>
      <c r="P113" s="2"/>
      <c r="Q113" s="2"/>
      <c r="R113" s="2"/>
      <c r="S113" s="2"/>
      <c r="V113" s="77"/>
      <c r="W113" s="77"/>
      <c r="X113" s="77"/>
      <c r="Y113" s="77"/>
      <c r="Z113" s="77"/>
      <c r="AA113" s="77"/>
      <c r="AB113" s="77"/>
      <c r="AC113" s="77"/>
      <c r="AD113" s="77"/>
      <c r="AF113" s="80"/>
      <c r="AG113" s="80"/>
      <c r="AH113" s="80"/>
      <c r="AI113" s="80"/>
      <c r="AJ113" s="80"/>
      <c r="AK113" s="80"/>
      <c r="AL113" s="80"/>
      <c r="AM113" s="80"/>
      <c r="AN113" s="80"/>
      <c r="AO113" s="80"/>
    </row>
    <row r="114" spans="1:41" x14ac:dyDescent="0.35">
      <c r="A114" s="47">
        <v>7</v>
      </c>
      <c r="B114" s="118">
        <v>46225</v>
      </c>
      <c r="C114" s="119">
        <v>1</v>
      </c>
      <c r="D114" s="119">
        <v>0.58234260000000004</v>
      </c>
      <c r="E114" s="119">
        <v>0.17259714000000001</v>
      </c>
      <c r="F114" s="119">
        <v>1.38775385</v>
      </c>
      <c r="G114" s="119">
        <v>1.0087703299999999</v>
      </c>
      <c r="H114" s="119">
        <v>0.77914541999999998</v>
      </c>
      <c r="I114" s="119">
        <v>0.38229763999999999</v>
      </c>
      <c r="J114" s="119">
        <v>0.22702937000000001</v>
      </c>
      <c r="K114" s="119">
        <v>7.5817309999999999E-2</v>
      </c>
      <c r="L114" s="119">
        <v>3.4646169999999997E-2</v>
      </c>
      <c r="M114" s="2"/>
      <c r="N114" s="2"/>
      <c r="O114" s="2"/>
      <c r="P114" s="2"/>
      <c r="Q114" s="2"/>
      <c r="R114" s="2"/>
      <c r="S114" s="2"/>
      <c r="V114" s="77"/>
      <c r="W114" s="77"/>
      <c r="X114" s="77"/>
      <c r="Y114" s="77"/>
      <c r="Z114" s="77"/>
      <c r="AA114" s="77"/>
      <c r="AB114" s="77"/>
      <c r="AC114" s="77"/>
      <c r="AD114" s="77"/>
      <c r="AF114" s="80"/>
      <c r="AG114" s="80"/>
      <c r="AH114" s="80"/>
      <c r="AI114" s="80"/>
      <c r="AJ114" s="80"/>
      <c r="AK114" s="80"/>
      <c r="AL114" s="80"/>
      <c r="AM114" s="80"/>
      <c r="AN114" s="80"/>
      <c r="AO114" s="80"/>
    </row>
    <row r="115" spans="1:41" x14ac:dyDescent="0.35">
      <c r="A115" s="47">
        <v>7</v>
      </c>
      <c r="B115" s="118">
        <v>46226</v>
      </c>
      <c r="C115" s="119">
        <v>1</v>
      </c>
      <c r="D115" s="119">
        <v>0.58083669999999998</v>
      </c>
      <c r="E115" s="119">
        <v>0.17191781</v>
      </c>
      <c r="F115" s="119">
        <v>1.38569958</v>
      </c>
      <c r="G115" s="119">
        <v>1.0036048200000001</v>
      </c>
      <c r="H115" s="119">
        <v>0.77683789000000003</v>
      </c>
      <c r="I115" s="119">
        <v>0.38114569999999998</v>
      </c>
      <c r="J115" s="119">
        <v>0.22616367000000001</v>
      </c>
      <c r="K115" s="119">
        <v>7.532693E-2</v>
      </c>
      <c r="L115" s="119">
        <v>3.4450000000000001E-2</v>
      </c>
      <c r="M115" s="2"/>
      <c r="N115" s="2"/>
      <c r="O115" s="2"/>
      <c r="P115" s="2"/>
      <c r="Q115" s="2"/>
      <c r="R115" s="2"/>
      <c r="S115" s="2"/>
      <c r="V115" s="77"/>
      <c r="W115" s="77"/>
      <c r="X115" s="77"/>
      <c r="Y115" s="77"/>
      <c r="Z115" s="77"/>
      <c r="AA115" s="77"/>
      <c r="AB115" s="77"/>
      <c r="AC115" s="77"/>
      <c r="AD115" s="77"/>
      <c r="AF115" s="80"/>
      <c r="AG115" s="80"/>
      <c r="AH115" s="80"/>
      <c r="AI115" s="80"/>
      <c r="AJ115" s="80"/>
      <c r="AK115" s="80"/>
      <c r="AL115" s="80"/>
      <c r="AM115" s="80"/>
      <c r="AN115" s="80"/>
      <c r="AO115" s="80"/>
    </row>
    <row r="116" spans="1:41" x14ac:dyDescent="0.35">
      <c r="A116" s="47">
        <v>7</v>
      </c>
      <c r="B116" s="118">
        <v>46227</v>
      </c>
      <c r="C116" s="119">
        <v>1</v>
      </c>
      <c r="D116" s="119">
        <v>0.57938595000000004</v>
      </c>
      <c r="E116" s="119">
        <v>0.17126335000000001</v>
      </c>
      <c r="F116" s="119">
        <v>1.3836453099999999</v>
      </c>
      <c r="G116" s="119">
        <v>0.99843930999999997</v>
      </c>
      <c r="H116" s="119">
        <v>0.77461484000000003</v>
      </c>
      <c r="I116" s="119">
        <v>0.38003593000000002</v>
      </c>
      <c r="J116" s="119">
        <v>0.22532967000000001</v>
      </c>
      <c r="K116" s="119">
        <v>7.4854500000000004E-2</v>
      </c>
      <c r="L116" s="119">
        <v>3.4261010000000001E-2</v>
      </c>
      <c r="M116" s="2"/>
      <c r="N116" s="2"/>
      <c r="O116" s="2"/>
      <c r="P116" s="2"/>
      <c r="Q116" s="2"/>
      <c r="R116" s="2"/>
      <c r="S116" s="2"/>
      <c r="V116" s="77"/>
      <c r="W116" s="77"/>
      <c r="X116" s="77"/>
      <c r="Y116" s="77"/>
      <c r="Z116" s="77"/>
      <c r="AA116" s="77"/>
      <c r="AB116" s="77"/>
      <c r="AC116" s="77"/>
      <c r="AD116" s="77"/>
      <c r="AF116" s="80"/>
      <c r="AG116" s="80"/>
      <c r="AH116" s="80"/>
      <c r="AI116" s="80"/>
      <c r="AJ116" s="80"/>
      <c r="AK116" s="80"/>
      <c r="AL116" s="80"/>
      <c r="AM116" s="80"/>
      <c r="AN116" s="80"/>
      <c r="AO116" s="80"/>
    </row>
    <row r="117" spans="1:41" x14ac:dyDescent="0.35">
      <c r="A117" s="47">
        <v>7</v>
      </c>
      <c r="B117" s="118">
        <v>46228</v>
      </c>
      <c r="C117" s="119">
        <v>0</v>
      </c>
      <c r="D117" s="119">
        <v>0.60394124000000005</v>
      </c>
      <c r="E117" s="119">
        <v>0.16596601999999999</v>
      </c>
      <c r="F117" s="119">
        <v>0.53025175000000002</v>
      </c>
      <c r="G117" s="119">
        <v>0.53992861999999997</v>
      </c>
      <c r="H117" s="119">
        <v>0.48851907999999999</v>
      </c>
      <c r="I117" s="119">
        <v>0.32362054000000001</v>
      </c>
      <c r="J117" s="119">
        <v>0.2006397</v>
      </c>
      <c r="K117" s="119">
        <v>5.6720939999999997E-2</v>
      </c>
      <c r="L117" s="119">
        <v>2.5032869999999999E-2</v>
      </c>
      <c r="M117" s="2"/>
      <c r="N117" s="2"/>
      <c r="O117" s="2"/>
      <c r="P117" s="2"/>
      <c r="Q117" s="2"/>
      <c r="R117" s="2"/>
      <c r="S117" s="2"/>
      <c r="V117" s="77"/>
      <c r="W117" s="77"/>
      <c r="X117" s="77"/>
      <c r="Y117" s="77"/>
      <c r="Z117" s="77"/>
      <c r="AA117" s="77"/>
      <c r="AB117" s="77"/>
      <c r="AC117" s="77"/>
      <c r="AD117" s="77"/>
      <c r="AF117" s="80"/>
      <c r="AG117" s="80"/>
      <c r="AH117" s="80"/>
      <c r="AI117" s="80"/>
      <c r="AJ117" s="80"/>
      <c r="AK117" s="80"/>
      <c r="AL117" s="80"/>
      <c r="AM117" s="80"/>
      <c r="AN117" s="80"/>
      <c r="AO117" s="80"/>
    </row>
    <row r="118" spans="1:41" x14ac:dyDescent="0.35">
      <c r="A118" s="47">
        <v>7</v>
      </c>
      <c r="B118" s="118">
        <v>46229</v>
      </c>
      <c r="C118" s="119">
        <v>0</v>
      </c>
      <c r="D118" s="119">
        <v>0.60269958000000001</v>
      </c>
      <c r="E118" s="119">
        <v>0.1654321</v>
      </c>
      <c r="F118" s="119">
        <v>0.53553362999999998</v>
      </c>
      <c r="G118" s="119">
        <v>0.53762231999999999</v>
      </c>
      <c r="H118" s="119">
        <v>0.48757808000000002</v>
      </c>
      <c r="I118" s="119">
        <v>0.32283924000000003</v>
      </c>
      <c r="J118" s="119">
        <v>0.19993964</v>
      </c>
      <c r="K118" s="119">
        <v>5.6299969999999998E-2</v>
      </c>
      <c r="L118" s="119">
        <v>2.485325E-2</v>
      </c>
      <c r="M118" s="2"/>
      <c r="N118" s="2"/>
      <c r="O118" s="2"/>
      <c r="P118" s="2"/>
      <c r="Q118" s="2"/>
      <c r="R118" s="2"/>
      <c r="S118" s="2"/>
      <c r="V118" s="77"/>
      <c r="W118" s="77"/>
      <c r="X118" s="77"/>
      <c r="Y118" s="77"/>
      <c r="Z118" s="77"/>
      <c r="AA118" s="77"/>
      <c r="AB118" s="77"/>
      <c r="AC118" s="77"/>
      <c r="AD118" s="77"/>
      <c r="AF118" s="80"/>
      <c r="AG118" s="80"/>
      <c r="AH118" s="80"/>
      <c r="AI118" s="80"/>
      <c r="AJ118" s="80"/>
      <c r="AK118" s="80"/>
      <c r="AL118" s="80"/>
      <c r="AM118" s="80"/>
      <c r="AN118" s="80"/>
      <c r="AO118" s="80"/>
    </row>
    <row r="119" spans="1:41" x14ac:dyDescent="0.35">
      <c r="A119" s="47">
        <v>7</v>
      </c>
      <c r="B119" s="118">
        <v>46230</v>
      </c>
      <c r="C119" s="119">
        <v>1</v>
      </c>
      <c r="D119" s="119">
        <v>0.57537212999999998</v>
      </c>
      <c r="E119" s="119">
        <v>0.16945265000000001</v>
      </c>
      <c r="F119" s="119">
        <v>1.3774824999999999</v>
      </c>
      <c r="G119" s="119">
        <v>0.98294280000000001</v>
      </c>
      <c r="H119" s="119">
        <v>0.76846433000000003</v>
      </c>
      <c r="I119" s="119">
        <v>0.37696553999999999</v>
      </c>
      <c r="J119" s="119">
        <v>0.22302221999999999</v>
      </c>
      <c r="K119" s="119">
        <v>7.3547429999999997E-2</v>
      </c>
      <c r="L119" s="119">
        <v>3.3738129999999998E-2</v>
      </c>
      <c r="M119" s="2"/>
      <c r="N119" s="2"/>
      <c r="O119" s="2"/>
      <c r="P119" s="2"/>
      <c r="Q119" s="2"/>
      <c r="R119" s="2"/>
      <c r="S119" s="2"/>
      <c r="V119" s="77"/>
      <c r="W119" s="77"/>
      <c r="X119" s="77"/>
      <c r="Y119" s="77"/>
      <c r="Z119" s="77"/>
      <c r="AA119" s="77"/>
      <c r="AB119" s="77"/>
      <c r="AC119" s="77"/>
      <c r="AD119" s="77"/>
      <c r="AF119" s="80"/>
      <c r="AG119" s="80"/>
      <c r="AH119" s="80"/>
      <c r="AI119" s="80"/>
      <c r="AJ119" s="80"/>
      <c r="AK119" s="80"/>
      <c r="AL119" s="80"/>
      <c r="AM119" s="80"/>
      <c r="AN119" s="80"/>
      <c r="AO119" s="80"/>
    </row>
    <row r="120" spans="1:41" x14ac:dyDescent="0.35">
      <c r="A120" s="47">
        <v>7</v>
      </c>
      <c r="B120" s="118">
        <v>46231</v>
      </c>
      <c r="C120" s="119">
        <v>1</v>
      </c>
      <c r="D120" s="119">
        <v>0.57414953000000002</v>
      </c>
      <c r="E120" s="119">
        <v>0.16890110999999999</v>
      </c>
      <c r="F120" s="119">
        <v>1.37542823</v>
      </c>
      <c r="G120" s="119">
        <v>0.97777729000000002</v>
      </c>
      <c r="H120" s="119">
        <v>0.76659089000000002</v>
      </c>
      <c r="I120" s="119">
        <v>0.37603029999999998</v>
      </c>
      <c r="J120" s="119">
        <v>0.22231938000000001</v>
      </c>
      <c r="K120" s="119">
        <v>7.31493E-2</v>
      </c>
      <c r="L120" s="119">
        <v>3.3578860000000002E-2</v>
      </c>
      <c r="M120" s="2"/>
      <c r="N120" s="2"/>
      <c r="O120" s="2"/>
      <c r="P120" s="2"/>
      <c r="Q120" s="2"/>
      <c r="R120" s="2"/>
      <c r="S120" s="2"/>
      <c r="V120" s="77"/>
      <c r="W120" s="77"/>
      <c r="X120" s="77"/>
      <c r="Y120" s="77"/>
      <c r="Z120" s="77"/>
      <c r="AA120" s="77"/>
      <c r="AB120" s="77"/>
      <c r="AC120" s="77"/>
      <c r="AD120" s="77"/>
      <c r="AF120" s="80"/>
      <c r="AG120" s="80"/>
      <c r="AH120" s="80"/>
      <c r="AI120" s="80"/>
      <c r="AJ120" s="80"/>
      <c r="AK120" s="80"/>
      <c r="AL120" s="80"/>
      <c r="AM120" s="80"/>
      <c r="AN120" s="80"/>
      <c r="AO120" s="80"/>
    </row>
    <row r="121" spans="1:41" x14ac:dyDescent="0.35">
      <c r="A121" s="47">
        <v>7</v>
      </c>
      <c r="B121" s="118">
        <v>46232</v>
      </c>
      <c r="C121" s="119">
        <v>1</v>
      </c>
      <c r="D121" s="119">
        <v>0.57298583000000003</v>
      </c>
      <c r="E121" s="119">
        <v>0.16837615</v>
      </c>
      <c r="F121" s="119">
        <v>1.3733739599999999</v>
      </c>
      <c r="G121" s="119">
        <v>0.97261178000000004</v>
      </c>
      <c r="H121" s="119">
        <v>0.76480771000000003</v>
      </c>
      <c r="I121" s="119">
        <v>0.37514012000000002</v>
      </c>
      <c r="J121" s="119">
        <v>0.2216504</v>
      </c>
      <c r="K121" s="119">
        <v>7.2770349999999998E-2</v>
      </c>
      <c r="L121" s="119">
        <v>3.342726E-2</v>
      </c>
      <c r="M121" s="2"/>
      <c r="N121" s="2"/>
      <c r="O121" s="2"/>
      <c r="P121" s="2"/>
      <c r="Q121" s="2"/>
      <c r="R121" s="2"/>
      <c r="S121" s="2"/>
      <c r="V121" s="77"/>
      <c r="W121" s="77"/>
      <c r="X121" s="77"/>
      <c r="Y121" s="77"/>
      <c r="Z121" s="77"/>
      <c r="AA121" s="77"/>
      <c r="AB121" s="77"/>
      <c r="AC121" s="77"/>
      <c r="AD121" s="77"/>
      <c r="AF121" s="80"/>
      <c r="AG121" s="80"/>
      <c r="AH121" s="80"/>
      <c r="AI121" s="80"/>
      <c r="AJ121" s="80"/>
      <c r="AK121" s="80"/>
      <c r="AL121" s="80"/>
      <c r="AM121" s="80"/>
      <c r="AN121" s="80"/>
      <c r="AO121" s="80"/>
    </row>
    <row r="122" spans="1:41" x14ac:dyDescent="0.35">
      <c r="A122" s="47">
        <v>7</v>
      </c>
      <c r="B122" s="118">
        <v>46233</v>
      </c>
      <c r="C122" s="119">
        <v>1</v>
      </c>
      <c r="D122" s="119">
        <v>0.57188176999999996</v>
      </c>
      <c r="E122" s="119">
        <v>0.16787809000000001</v>
      </c>
      <c r="F122" s="119">
        <v>1.37131969</v>
      </c>
      <c r="G122" s="119">
        <v>0.96744627999999999</v>
      </c>
      <c r="H122" s="119">
        <v>0.76311593</v>
      </c>
      <c r="I122" s="119">
        <v>0.37429556000000003</v>
      </c>
      <c r="J122" s="119">
        <v>0.22101570000000001</v>
      </c>
      <c r="K122" s="119">
        <v>7.2410820000000001E-2</v>
      </c>
      <c r="L122" s="119">
        <v>3.3283430000000003E-2</v>
      </c>
      <c r="M122" s="2"/>
      <c r="N122" s="2"/>
      <c r="O122" s="2"/>
      <c r="P122" s="2"/>
      <c r="Q122" s="2"/>
      <c r="R122" s="2"/>
      <c r="S122" s="2"/>
      <c r="V122" s="77"/>
      <c r="W122" s="77"/>
      <c r="X122" s="77"/>
      <c r="Y122" s="77"/>
      <c r="Z122" s="77"/>
      <c r="AA122" s="77"/>
      <c r="AB122" s="77"/>
      <c r="AC122" s="77"/>
      <c r="AD122" s="77"/>
      <c r="AF122" s="80"/>
      <c r="AG122" s="80"/>
      <c r="AH122" s="80"/>
      <c r="AI122" s="80"/>
      <c r="AJ122" s="80"/>
      <c r="AK122" s="80"/>
      <c r="AL122" s="80"/>
      <c r="AM122" s="80"/>
      <c r="AN122" s="80"/>
      <c r="AO122" s="80"/>
    </row>
    <row r="123" spans="1:41" x14ac:dyDescent="0.35">
      <c r="A123" s="47">
        <v>7</v>
      </c>
      <c r="B123" s="118">
        <v>46234</v>
      </c>
      <c r="C123" s="119">
        <v>1</v>
      </c>
      <c r="D123" s="119">
        <v>0.57083808000000003</v>
      </c>
      <c r="E123" s="119">
        <v>0.16740726</v>
      </c>
      <c r="F123" s="119">
        <v>1.3692654200000001</v>
      </c>
      <c r="G123" s="119">
        <v>0.96228077000000001</v>
      </c>
      <c r="H123" s="119">
        <v>0.76151663999999997</v>
      </c>
      <c r="I123" s="119">
        <v>0.37349717999999998</v>
      </c>
      <c r="J123" s="119">
        <v>0.22041570999999999</v>
      </c>
      <c r="K123" s="119">
        <v>7.2070949999999995E-2</v>
      </c>
      <c r="L123" s="119">
        <v>3.3147469999999998E-2</v>
      </c>
      <c r="M123" s="2"/>
      <c r="N123" s="2"/>
      <c r="O123" s="2"/>
      <c r="P123" s="2"/>
      <c r="Q123" s="2"/>
      <c r="R123" s="2"/>
      <c r="S123" s="2"/>
      <c r="V123" s="77"/>
      <c r="W123" s="77"/>
      <c r="X123" s="77"/>
      <c r="Y123" s="77"/>
      <c r="Z123" s="77"/>
      <c r="AA123" s="77"/>
      <c r="AB123" s="77"/>
      <c r="AC123" s="77"/>
      <c r="AD123" s="77"/>
      <c r="AF123" s="80"/>
      <c r="AG123" s="80"/>
      <c r="AH123" s="80"/>
      <c r="AI123" s="80"/>
      <c r="AJ123" s="80"/>
      <c r="AK123" s="80"/>
      <c r="AL123" s="80"/>
      <c r="AM123" s="80"/>
      <c r="AN123" s="80"/>
      <c r="AO123" s="80"/>
    </row>
    <row r="124" spans="1:41" x14ac:dyDescent="0.35">
      <c r="A124" s="47">
        <v>8</v>
      </c>
      <c r="B124" s="118">
        <v>46235</v>
      </c>
      <c r="C124" s="119">
        <v>0</v>
      </c>
      <c r="D124" s="119">
        <v>0.59639246999999995</v>
      </c>
      <c r="E124" s="119">
        <v>0.16271999000000001</v>
      </c>
      <c r="F124" s="119">
        <v>0.56194305</v>
      </c>
      <c r="G124" s="119">
        <v>0.52609083999999995</v>
      </c>
      <c r="H124" s="119">
        <v>0.48279820000000001</v>
      </c>
      <c r="I124" s="119">
        <v>0.31887058000000001</v>
      </c>
      <c r="J124" s="119">
        <v>0.19638360999999999</v>
      </c>
      <c r="K124" s="119">
        <v>5.4161569999999999E-2</v>
      </c>
      <c r="L124" s="119">
        <v>2.3940880000000001E-2</v>
      </c>
      <c r="M124" s="2"/>
      <c r="N124" s="2"/>
      <c r="O124" s="2"/>
      <c r="P124" s="2"/>
      <c r="Q124" s="2"/>
      <c r="R124" s="2"/>
      <c r="S124" s="2"/>
      <c r="V124" s="77"/>
      <c r="W124" s="77"/>
      <c r="X124" s="77"/>
      <c r="Y124" s="77"/>
      <c r="Z124" s="77"/>
      <c r="AA124" s="77"/>
      <c r="AB124" s="77"/>
      <c r="AC124" s="77"/>
      <c r="AD124" s="77"/>
      <c r="AF124" s="80"/>
      <c r="AG124" s="80"/>
      <c r="AH124" s="80"/>
      <c r="AI124" s="80"/>
      <c r="AJ124" s="80"/>
      <c r="AK124" s="80"/>
      <c r="AL124" s="80"/>
      <c r="AM124" s="80"/>
      <c r="AN124" s="80"/>
      <c r="AO124" s="80"/>
    </row>
    <row r="125" spans="1:41" x14ac:dyDescent="0.35">
      <c r="A125" s="47">
        <v>8</v>
      </c>
      <c r="B125" s="118">
        <v>46236</v>
      </c>
      <c r="C125" s="119">
        <v>0</v>
      </c>
      <c r="D125" s="119">
        <v>0.59553805999999998</v>
      </c>
      <c r="E125" s="119">
        <v>0.16235258999999999</v>
      </c>
      <c r="F125" s="119">
        <v>0.56722492999999996</v>
      </c>
      <c r="G125" s="119">
        <v>0.52378455000000002</v>
      </c>
      <c r="H125" s="119">
        <v>0.48215068</v>
      </c>
      <c r="I125" s="119">
        <v>0.31833295</v>
      </c>
      <c r="J125" s="119">
        <v>0.19590188</v>
      </c>
      <c r="K125" s="119">
        <v>5.3871889999999999E-2</v>
      </c>
      <c r="L125" s="119">
        <v>2.381728E-2</v>
      </c>
      <c r="M125" s="2"/>
      <c r="N125" s="2"/>
      <c r="O125" s="2"/>
      <c r="P125" s="2"/>
      <c r="Q125" s="2"/>
      <c r="R125" s="2"/>
      <c r="S125" s="2"/>
      <c r="V125" s="77"/>
      <c r="W125" s="77"/>
      <c r="X125" s="77"/>
      <c r="Y125" s="77"/>
      <c r="Z125" s="77"/>
      <c r="AA125" s="77"/>
      <c r="AB125" s="77"/>
      <c r="AC125" s="77"/>
      <c r="AD125" s="77"/>
      <c r="AF125" s="80"/>
      <c r="AG125" s="80"/>
      <c r="AH125" s="80"/>
      <c r="AI125" s="80"/>
      <c r="AJ125" s="80"/>
      <c r="AK125" s="80"/>
      <c r="AL125" s="80"/>
      <c r="AM125" s="80"/>
      <c r="AN125" s="80"/>
      <c r="AO125" s="80"/>
    </row>
    <row r="126" spans="1:41" x14ac:dyDescent="0.35">
      <c r="A126" s="47">
        <v>8</v>
      </c>
      <c r="B126" s="118">
        <v>46237</v>
      </c>
      <c r="C126" s="119">
        <v>1</v>
      </c>
      <c r="D126" s="119">
        <v>0.56807624999999995</v>
      </c>
      <c r="E126" s="119">
        <v>0.16616135000000001</v>
      </c>
      <c r="F126" s="119">
        <v>1.36515688</v>
      </c>
      <c r="G126" s="119">
        <v>0.95194975999999998</v>
      </c>
      <c r="H126" s="119">
        <v>0.75728459999999997</v>
      </c>
      <c r="I126" s="119">
        <v>0.37138451</v>
      </c>
      <c r="J126" s="119">
        <v>0.21882799999999999</v>
      </c>
      <c r="K126" s="119">
        <v>7.1171579999999998E-2</v>
      </c>
      <c r="L126" s="119">
        <v>3.278768E-2</v>
      </c>
      <c r="M126" s="2"/>
      <c r="N126" s="2"/>
      <c r="O126" s="2"/>
      <c r="P126" s="2"/>
      <c r="Q126" s="2"/>
      <c r="R126" s="2"/>
      <c r="S126" s="2"/>
      <c r="V126" s="77"/>
      <c r="W126" s="77"/>
      <c r="X126" s="77"/>
      <c r="Y126" s="77"/>
      <c r="Z126" s="77"/>
      <c r="AA126" s="77"/>
      <c r="AB126" s="77"/>
      <c r="AC126" s="77"/>
      <c r="AD126" s="77"/>
      <c r="AF126" s="80"/>
      <c r="AG126" s="80"/>
      <c r="AH126" s="80"/>
      <c r="AI126" s="80"/>
      <c r="AJ126" s="80"/>
      <c r="AK126" s="80"/>
      <c r="AL126" s="80"/>
      <c r="AM126" s="80"/>
      <c r="AN126" s="80"/>
      <c r="AO126" s="80"/>
    </row>
    <row r="127" spans="1:41" x14ac:dyDescent="0.35">
      <c r="A127" s="47">
        <v>8</v>
      </c>
      <c r="B127" s="118">
        <v>46238</v>
      </c>
      <c r="C127" s="119">
        <v>1</v>
      </c>
      <c r="D127" s="119">
        <v>0.56728102000000002</v>
      </c>
      <c r="E127" s="119">
        <v>0.16580260999999999</v>
      </c>
      <c r="F127" s="119">
        <v>1.3631026100000001</v>
      </c>
      <c r="G127" s="119">
        <v>0.94678424999999999</v>
      </c>
      <c r="H127" s="119">
        <v>0.75606603999999999</v>
      </c>
      <c r="I127" s="119">
        <v>0.37077619000000001</v>
      </c>
      <c r="J127" s="119">
        <v>0.21837084000000001</v>
      </c>
      <c r="K127" s="119">
        <v>7.0912619999999996E-2</v>
      </c>
      <c r="L127" s="119">
        <v>3.2684089999999999E-2</v>
      </c>
      <c r="M127" s="2"/>
      <c r="N127" s="2"/>
      <c r="O127" s="2"/>
      <c r="P127" s="2"/>
      <c r="Q127" s="2"/>
      <c r="R127" s="2"/>
      <c r="S127" s="2"/>
      <c r="V127" s="77"/>
      <c r="W127" s="77"/>
      <c r="X127" s="77"/>
      <c r="Y127" s="77"/>
      <c r="Z127" s="77"/>
      <c r="AA127" s="77"/>
      <c r="AB127" s="77"/>
      <c r="AC127" s="77"/>
      <c r="AD127" s="77"/>
      <c r="AF127" s="80"/>
      <c r="AG127" s="80"/>
      <c r="AH127" s="80"/>
      <c r="AI127" s="80"/>
      <c r="AJ127" s="80"/>
      <c r="AK127" s="80"/>
      <c r="AL127" s="80"/>
      <c r="AM127" s="80"/>
      <c r="AN127" s="80"/>
      <c r="AO127" s="80"/>
    </row>
    <row r="128" spans="1:41" x14ac:dyDescent="0.35">
      <c r="A128" s="47">
        <v>8</v>
      </c>
      <c r="B128" s="118">
        <v>46239</v>
      </c>
      <c r="C128" s="119">
        <v>1</v>
      </c>
      <c r="D128" s="119">
        <v>0.56654959000000005</v>
      </c>
      <c r="E128" s="119">
        <v>0.16547265</v>
      </c>
      <c r="F128" s="119">
        <v>1.36104834</v>
      </c>
      <c r="G128" s="119">
        <v>0.94161874000000001</v>
      </c>
      <c r="H128" s="119">
        <v>0.75494523999999996</v>
      </c>
      <c r="I128" s="119">
        <v>0.37021668000000002</v>
      </c>
      <c r="J128" s="119">
        <v>0.21795036000000001</v>
      </c>
      <c r="K128" s="119">
        <v>7.0674429999999996E-2</v>
      </c>
      <c r="L128" s="119">
        <v>3.2588800000000001E-2</v>
      </c>
      <c r="M128" s="2"/>
      <c r="N128" s="2"/>
      <c r="O128" s="2"/>
      <c r="P128" s="2"/>
      <c r="Q128" s="2"/>
      <c r="R128" s="2"/>
      <c r="S128" s="2"/>
      <c r="V128" s="77"/>
      <c r="W128" s="77"/>
      <c r="X128" s="77"/>
      <c r="Y128" s="77"/>
      <c r="Z128" s="77"/>
      <c r="AA128" s="77"/>
      <c r="AB128" s="77"/>
      <c r="AC128" s="77"/>
      <c r="AD128" s="77"/>
      <c r="AF128" s="80"/>
      <c r="AG128" s="80"/>
      <c r="AH128" s="80"/>
      <c r="AI128" s="80"/>
      <c r="AJ128" s="80"/>
      <c r="AK128" s="80"/>
      <c r="AL128" s="80"/>
      <c r="AM128" s="80"/>
      <c r="AN128" s="80"/>
      <c r="AO128" s="80"/>
    </row>
    <row r="129" spans="1:41" x14ac:dyDescent="0.35">
      <c r="A129" s="47">
        <v>8</v>
      </c>
      <c r="B129" s="118">
        <v>46240</v>
      </c>
      <c r="C129" s="119">
        <v>1</v>
      </c>
      <c r="D129" s="119">
        <v>0.56588258999999996</v>
      </c>
      <c r="E129" s="119">
        <v>0.16517175000000001</v>
      </c>
      <c r="F129" s="119">
        <v>1.3589940700000001</v>
      </c>
      <c r="G129" s="119">
        <v>0.93645323999999996</v>
      </c>
      <c r="H129" s="119">
        <v>0.75392316999999998</v>
      </c>
      <c r="I129" s="119">
        <v>0.36970645000000002</v>
      </c>
      <c r="J129" s="119">
        <v>0.21756692</v>
      </c>
      <c r="K129" s="119">
        <v>7.0457229999999996E-2</v>
      </c>
      <c r="L129" s="119">
        <v>3.2501910000000002E-2</v>
      </c>
      <c r="M129" s="2"/>
      <c r="N129" s="2"/>
      <c r="O129" s="2"/>
      <c r="P129" s="2"/>
      <c r="Q129" s="2"/>
      <c r="R129" s="2"/>
      <c r="S129" s="2"/>
      <c r="V129" s="77"/>
      <c r="W129" s="77"/>
      <c r="X129" s="77"/>
      <c r="Y129" s="77"/>
      <c r="Z129" s="77"/>
      <c r="AA129" s="77"/>
      <c r="AB129" s="77"/>
      <c r="AC129" s="77"/>
      <c r="AD129" s="77"/>
      <c r="AF129" s="80"/>
      <c r="AG129" s="80"/>
      <c r="AH129" s="80"/>
      <c r="AI129" s="80"/>
      <c r="AJ129" s="80"/>
      <c r="AK129" s="80"/>
      <c r="AL129" s="80"/>
      <c r="AM129" s="80"/>
      <c r="AN129" s="80"/>
      <c r="AO129" s="80"/>
    </row>
    <row r="130" spans="1:41" x14ac:dyDescent="0.35">
      <c r="A130" s="47">
        <v>8</v>
      </c>
      <c r="B130" s="118">
        <v>46241</v>
      </c>
      <c r="C130" s="119">
        <v>1</v>
      </c>
      <c r="D130" s="119">
        <v>0.56528065000000005</v>
      </c>
      <c r="E130" s="119">
        <v>0.16490020999999999</v>
      </c>
      <c r="F130" s="119">
        <v>1.3569398100000001</v>
      </c>
      <c r="G130" s="119">
        <v>0.93128772999999998</v>
      </c>
      <c r="H130" s="119">
        <v>0.75300080000000003</v>
      </c>
      <c r="I130" s="119">
        <v>0.36924600000000002</v>
      </c>
      <c r="J130" s="119">
        <v>0.21722088000000001</v>
      </c>
      <c r="K130" s="119">
        <v>7.0261210000000004E-2</v>
      </c>
      <c r="L130" s="119">
        <v>3.2423500000000001E-2</v>
      </c>
      <c r="M130" s="2"/>
      <c r="N130" s="2"/>
      <c r="O130" s="2"/>
      <c r="P130" s="2"/>
      <c r="Q130" s="2"/>
      <c r="R130" s="2"/>
      <c r="S130" s="2"/>
      <c r="V130" s="77"/>
      <c r="W130" s="77"/>
      <c r="X130" s="77"/>
      <c r="Y130" s="77"/>
      <c r="Z130" s="77"/>
      <c r="AA130" s="77"/>
      <c r="AB130" s="77"/>
      <c r="AC130" s="77"/>
      <c r="AD130" s="77"/>
      <c r="AF130" s="80"/>
      <c r="AG130" s="80"/>
      <c r="AH130" s="80"/>
      <c r="AI130" s="80"/>
      <c r="AJ130" s="80"/>
      <c r="AK130" s="80"/>
      <c r="AL130" s="80"/>
      <c r="AM130" s="80"/>
      <c r="AN130" s="80"/>
      <c r="AO130" s="80"/>
    </row>
    <row r="131" spans="1:41" x14ac:dyDescent="0.35">
      <c r="A131" s="47">
        <v>8</v>
      </c>
      <c r="B131" s="118">
        <v>46242</v>
      </c>
      <c r="C131" s="119">
        <v>0</v>
      </c>
      <c r="D131" s="119">
        <v>0.59165007999999997</v>
      </c>
      <c r="E131" s="119">
        <v>0.16068072</v>
      </c>
      <c r="F131" s="119">
        <v>0.59891623000000005</v>
      </c>
      <c r="G131" s="119">
        <v>0.50994676999999999</v>
      </c>
      <c r="H131" s="119">
        <v>0.47920415</v>
      </c>
      <c r="I131" s="119">
        <v>0.31588649000000002</v>
      </c>
      <c r="J131" s="119">
        <v>0.19370978999999999</v>
      </c>
      <c r="K131" s="119">
        <v>5.255369E-2</v>
      </c>
      <c r="L131" s="119">
        <v>2.3254850000000001E-2</v>
      </c>
      <c r="M131" s="2"/>
      <c r="N131" s="2"/>
      <c r="O131" s="2"/>
      <c r="P131" s="2"/>
      <c r="Q131" s="2"/>
      <c r="R131" s="2"/>
      <c r="S131" s="2"/>
      <c r="V131" s="77"/>
      <c r="W131" s="77"/>
      <c r="X131" s="77"/>
      <c r="Y131" s="77"/>
      <c r="Z131" s="77"/>
      <c r="AA131" s="77"/>
      <c r="AB131" s="77"/>
      <c r="AC131" s="77"/>
      <c r="AD131" s="77"/>
      <c r="AF131" s="80"/>
      <c r="AG131" s="80"/>
      <c r="AH131" s="80"/>
      <c r="AI131" s="80"/>
      <c r="AJ131" s="80"/>
      <c r="AK131" s="80"/>
      <c r="AL131" s="80"/>
      <c r="AM131" s="80"/>
      <c r="AN131" s="80"/>
      <c r="AO131" s="80"/>
    </row>
    <row r="132" spans="1:41" x14ac:dyDescent="0.35">
      <c r="A132" s="47">
        <v>8</v>
      </c>
      <c r="B132" s="118">
        <v>46243</v>
      </c>
      <c r="C132" s="119">
        <v>0</v>
      </c>
      <c r="D132" s="119">
        <v>0.59121394999999999</v>
      </c>
      <c r="E132" s="119">
        <v>0.16049319000000001</v>
      </c>
      <c r="F132" s="119">
        <v>0.60419811000000001</v>
      </c>
      <c r="G132" s="119">
        <v>0.50764047999999995</v>
      </c>
      <c r="H132" s="119">
        <v>0.47887362999999999</v>
      </c>
      <c r="I132" s="119">
        <v>0.31561207000000002</v>
      </c>
      <c r="J132" s="119">
        <v>0.19346389</v>
      </c>
      <c r="K132" s="119">
        <v>5.240583E-2</v>
      </c>
      <c r="L132" s="119">
        <v>2.3191759999999999E-2</v>
      </c>
      <c r="M132" s="2"/>
      <c r="N132" s="2"/>
      <c r="O132" s="2"/>
      <c r="P132" s="2"/>
      <c r="Q132" s="2"/>
      <c r="R132" s="2"/>
      <c r="S132" s="2"/>
      <c r="V132" s="77"/>
      <c r="W132" s="77"/>
      <c r="X132" s="77"/>
      <c r="Y132" s="77"/>
      <c r="Z132" s="77"/>
      <c r="AA132" s="77"/>
      <c r="AB132" s="77"/>
      <c r="AC132" s="77"/>
      <c r="AD132" s="77"/>
      <c r="AF132" s="80"/>
      <c r="AG132" s="80"/>
      <c r="AH132" s="80"/>
      <c r="AI132" s="80"/>
      <c r="AJ132" s="80"/>
      <c r="AK132" s="80"/>
      <c r="AL132" s="80"/>
      <c r="AM132" s="80"/>
      <c r="AN132" s="80"/>
      <c r="AO132" s="80"/>
    </row>
    <row r="133" spans="1:41" x14ac:dyDescent="0.35">
      <c r="A133" s="47">
        <v>8</v>
      </c>
      <c r="B133" s="118">
        <v>46244</v>
      </c>
      <c r="C133" s="119">
        <v>1</v>
      </c>
      <c r="D133" s="119">
        <v>0.56387113</v>
      </c>
      <c r="E133" s="119">
        <v>0.16426435</v>
      </c>
      <c r="F133" s="119">
        <v>1.3507769999999999</v>
      </c>
      <c r="G133" s="119">
        <v>0.91579120999999997</v>
      </c>
      <c r="H133" s="119">
        <v>0.75084094000000001</v>
      </c>
      <c r="I133" s="119">
        <v>0.36816777000000001</v>
      </c>
      <c r="J133" s="119">
        <v>0.21641057999999999</v>
      </c>
      <c r="K133" s="119">
        <v>6.9802210000000003E-2</v>
      </c>
      <c r="L133" s="119">
        <v>3.2239879999999999E-2</v>
      </c>
      <c r="M133" s="2"/>
      <c r="N133" s="2"/>
      <c r="O133" s="2"/>
      <c r="P133" s="2"/>
      <c r="Q133" s="2"/>
      <c r="R133" s="2"/>
      <c r="S133" s="2"/>
      <c r="V133" s="77"/>
      <c r="W133" s="77"/>
      <c r="X133" s="77"/>
      <c r="Y133" s="77"/>
      <c r="Z133" s="77"/>
      <c r="AA133" s="77"/>
      <c r="AB133" s="77"/>
      <c r="AC133" s="77"/>
      <c r="AD133" s="77"/>
      <c r="AF133" s="80"/>
      <c r="AG133" s="80"/>
      <c r="AH133" s="80"/>
      <c r="AI133" s="80"/>
      <c r="AJ133" s="80"/>
      <c r="AK133" s="80"/>
      <c r="AL133" s="80"/>
      <c r="AM133" s="80"/>
      <c r="AN133" s="80"/>
      <c r="AO133" s="80"/>
    </row>
    <row r="134" spans="1:41" x14ac:dyDescent="0.35">
      <c r="A134" s="47">
        <v>8</v>
      </c>
      <c r="B134" s="118">
        <v>46245</v>
      </c>
      <c r="C134" s="119">
        <v>1</v>
      </c>
      <c r="D134" s="119">
        <v>0.56353525000000004</v>
      </c>
      <c r="E134" s="119">
        <v>0.16411282999999999</v>
      </c>
      <c r="F134" s="119">
        <v>1.34872273</v>
      </c>
      <c r="G134" s="119">
        <v>0.91062569999999998</v>
      </c>
      <c r="H134" s="119">
        <v>0.75032626000000002</v>
      </c>
      <c r="I134" s="119">
        <v>0.36791084000000002</v>
      </c>
      <c r="J134" s="119">
        <v>0.21621749000000001</v>
      </c>
      <c r="K134" s="119">
        <v>6.9692840000000006E-2</v>
      </c>
      <c r="L134" s="119">
        <v>3.2196120000000002E-2</v>
      </c>
      <c r="M134" s="2"/>
      <c r="N134" s="2"/>
      <c r="O134" s="2"/>
      <c r="P134" s="2"/>
      <c r="Q134" s="2"/>
      <c r="R134" s="2"/>
      <c r="S134" s="2"/>
      <c r="V134" s="77"/>
      <c r="W134" s="77"/>
      <c r="X134" s="77"/>
      <c r="Y134" s="77"/>
      <c r="Z134" s="77"/>
      <c r="AA134" s="77"/>
      <c r="AB134" s="77"/>
      <c r="AC134" s="77"/>
      <c r="AD134" s="77"/>
      <c r="AF134" s="80"/>
      <c r="AG134" s="80"/>
      <c r="AH134" s="80"/>
      <c r="AI134" s="80"/>
      <c r="AJ134" s="80"/>
      <c r="AK134" s="80"/>
      <c r="AL134" s="80"/>
      <c r="AM134" s="80"/>
      <c r="AN134" s="80"/>
      <c r="AO134" s="80"/>
    </row>
    <row r="135" spans="1:41" x14ac:dyDescent="0.35">
      <c r="A135" s="47">
        <v>8</v>
      </c>
      <c r="B135" s="118">
        <v>46246</v>
      </c>
      <c r="C135" s="119">
        <v>1</v>
      </c>
      <c r="D135" s="119">
        <v>0.56326723000000001</v>
      </c>
      <c r="E135" s="119">
        <v>0.16399192000000001</v>
      </c>
      <c r="F135" s="119">
        <v>1.3466684600000001</v>
      </c>
      <c r="G135" s="119">
        <v>0.90546020000000005</v>
      </c>
      <c r="H135" s="119">
        <v>0.74991556999999998</v>
      </c>
      <c r="I135" s="119">
        <v>0.36770582000000002</v>
      </c>
      <c r="J135" s="119">
        <v>0.21606341000000001</v>
      </c>
      <c r="K135" s="119">
        <v>6.9605559999999997E-2</v>
      </c>
      <c r="L135" s="119">
        <v>3.2161210000000003E-2</v>
      </c>
      <c r="M135" s="2"/>
      <c r="N135" s="2"/>
      <c r="O135" s="2"/>
      <c r="P135" s="2"/>
      <c r="Q135" s="2"/>
      <c r="R135" s="2"/>
      <c r="S135" s="2"/>
      <c r="V135" s="77"/>
      <c r="W135" s="77"/>
      <c r="X135" s="77"/>
      <c r="Y135" s="77"/>
      <c r="Z135" s="77"/>
      <c r="AA135" s="77"/>
      <c r="AB135" s="77"/>
      <c r="AC135" s="77"/>
      <c r="AD135" s="77"/>
      <c r="AF135" s="80"/>
      <c r="AG135" s="80"/>
      <c r="AH135" s="80"/>
      <c r="AI135" s="80"/>
      <c r="AJ135" s="80"/>
      <c r="AK135" s="80"/>
      <c r="AL135" s="80"/>
      <c r="AM135" s="80"/>
      <c r="AN135" s="80"/>
      <c r="AO135" s="80"/>
    </row>
    <row r="136" spans="1:41" x14ac:dyDescent="0.35">
      <c r="A136" s="47">
        <v>8</v>
      </c>
      <c r="B136" s="118">
        <v>46247</v>
      </c>
      <c r="C136" s="119">
        <v>1</v>
      </c>
      <c r="D136" s="119">
        <v>0.56306756000000002</v>
      </c>
      <c r="E136" s="119">
        <v>0.16390184999999999</v>
      </c>
      <c r="F136" s="119">
        <v>1.3446141899999999</v>
      </c>
      <c r="G136" s="119">
        <v>0.90029468999999995</v>
      </c>
      <c r="H136" s="119">
        <v>0.74960959999999999</v>
      </c>
      <c r="I136" s="119">
        <v>0.36755307999999998</v>
      </c>
      <c r="J136" s="119">
        <v>0.21594862000000001</v>
      </c>
      <c r="K136" s="119">
        <v>6.9540539999999998E-2</v>
      </c>
      <c r="L136" s="119">
        <v>3.2135200000000003E-2</v>
      </c>
      <c r="M136" s="2"/>
      <c r="N136" s="2"/>
      <c r="O136" s="2"/>
      <c r="P136" s="2"/>
      <c r="Q136" s="2"/>
      <c r="R136" s="2"/>
      <c r="S136" s="2"/>
      <c r="V136" s="77"/>
      <c r="W136" s="77"/>
      <c r="X136" s="77"/>
      <c r="Y136" s="77"/>
      <c r="Z136" s="77"/>
      <c r="AA136" s="77"/>
      <c r="AB136" s="77"/>
      <c r="AC136" s="77"/>
      <c r="AD136" s="77"/>
      <c r="AF136" s="80"/>
      <c r="AG136" s="80"/>
      <c r="AH136" s="80"/>
      <c r="AI136" s="80"/>
      <c r="AJ136" s="80"/>
      <c r="AK136" s="80"/>
      <c r="AL136" s="80"/>
      <c r="AM136" s="80"/>
      <c r="AN136" s="80"/>
      <c r="AO136" s="80"/>
    </row>
    <row r="137" spans="1:41" x14ac:dyDescent="0.35">
      <c r="A137" s="47">
        <v>8</v>
      </c>
      <c r="B137" s="118">
        <v>46248</v>
      </c>
      <c r="C137" s="119">
        <v>1</v>
      </c>
      <c r="D137" s="119">
        <v>0.56293669999999996</v>
      </c>
      <c r="E137" s="119">
        <v>0.16384281000000001</v>
      </c>
      <c r="F137" s="119">
        <v>1.34255992</v>
      </c>
      <c r="G137" s="119">
        <v>0.89512917999999997</v>
      </c>
      <c r="H137" s="119">
        <v>0.74940907000000001</v>
      </c>
      <c r="I137" s="119">
        <v>0.36745296999999999</v>
      </c>
      <c r="J137" s="119">
        <v>0.21587339</v>
      </c>
      <c r="K137" s="119">
        <v>6.9497920000000005E-2</v>
      </c>
      <c r="L137" s="119">
        <v>3.2118149999999998E-2</v>
      </c>
      <c r="M137" s="2"/>
      <c r="N137" s="2"/>
      <c r="O137" s="2"/>
      <c r="P137" s="2"/>
      <c r="Q137" s="2"/>
      <c r="R137" s="2"/>
      <c r="S137" s="2"/>
      <c r="V137" s="77"/>
      <c r="W137" s="77"/>
      <c r="X137" s="77"/>
      <c r="Y137" s="77"/>
      <c r="Z137" s="77"/>
      <c r="AA137" s="77"/>
      <c r="AB137" s="77"/>
      <c r="AC137" s="77"/>
      <c r="AD137" s="77"/>
      <c r="AF137" s="80"/>
      <c r="AG137" s="80"/>
      <c r="AH137" s="80"/>
      <c r="AI137" s="80"/>
      <c r="AJ137" s="80"/>
      <c r="AK137" s="80"/>
      <c r="AL137" s="80"/>
      <c r="AM137" s="80"/>
      <c r="AN137" s="80"/>
      <c r="AO137" s="80"/>
    </row>
    <row r="138" spans="1:41" x14ac:dyDescent="0.35">
      <c r="A138" s="47">
        <v>8</v>
      </c>
      <c r="B138" s="118">
        <v>46249</v>
      </c>
      <c r="C138" s="119">
        <v>0</v>
      </c>
      <c r="D138" s="119">
        <v>0.58991561000000003</v>
      </c>
      <c r="E138" s="119">
        <v>0.15993489</v>
      </c>
      <c r="F138" s="119">
        <v>0.63588940999999999</v>
      </c>
      <c r="G138" s="119">
        <v>0.49380270999999998</v>
      </c>
      <c r="H138" s="119">
        <v>0.47788966999999999</v>
      </c>
      <c r="I138" s="119">
        <v>0.31479509999999999</v>
      </c>
      <c r="J138" s="119">
        <v>0.19273187</v>
      </c>
      <c r="K138" s="119">
        <v>5.1965629999999999E-2</v>
      </c>
      <c r="L138" s="119">
        <v>2.3003949999999999E-2</v>
      </c>
      <c r="M138" s="2"/>
      <c r="N138" s="2"/>
      <c r="O138" s="2"/>
      <c r="P138" s="2"/>
      <c r="Q138" s="2"/>
      <c r="R138" s="2"/>
      <c r="S138" s="2"/>
      <c r="V138" s="77"/>
      <c r="W138" s="77"/>
      <c r="X138" s="77"/>
      <c r="Y138" s="77"/>
      <c r="Z138" s="77"/>
      <c r="AA138" s="77"/>
      <c r="AB138" s="77"/>
      <c r="AC138" s="77"/>
      <c r="AD138" s="77"/>
      <c r="AF138" s="80"/>
      <c r="AG138" s="80"/>
      <c r="AH138" s="80"/>
      <c r="AI138" s="80"/>
      <c r="AJ138" s="80"/>
      <c r="AK138" s="80"/>
      <c r="AL138" s="80"/>
      <c r="AM138" s="80"/>
      <c r="AN138" s="80"/>
      <c r="AO138" s="80"/>
    </row>
    <row r="139" spans="1:41" x14ac:dyDescent="0.35">
      <c r="A139" s="47">
        <v>8</v>
      </c>
      <c r="B139" s="118">
        <v>46250</v>
      </c>
      <c r="C139" s="119">
        <v>0</v>
      </c>
      <c r="D139" s="119">
        <v>0.58992306000000005</v>
      </c>
      <c r="E139" s="119">
        <v>0.15993809</v>
      </c>
      <c r="F139" s="119">
        <v>0.63668853999999997</v>
      </c>
      <c r="G139" s="119">
        <v>0.49888927999999999</v>
      </c>
      <c r="H139" s="119">
        <v>0.47789531000000002</v>
      </c>
      <c r="I139" s="119">
        <v>0.31479979000000002</v>
      </c>
      <c r="J139" s="119">
        <v>0.19273607000000001</v>
      </c>
      <c r="K139" s="119">
        <v>5.1968149999999998E-2</v>
      </c>
      <c r="L139" s="119">
        <v>2.3005020000000001E-2</v>
      </c>
      <c r="M139" s="2"/>
      <c r="N139" s="2"/>
      <c r="O139" s="2"/>
      <c r="P139" s="2"/>
      <c r="Q139" s="2"/>
      <c r="R139" s="2"/>
      <c r="S139" s="2"/>
      <c r="V139" s="77"/>
      <c r="W139" s="77"/>
      <c r="X139" s="77"/>
      <c r="Y139" s="77"/>
      <c r="Z139" s="77"/>
      <c r="AA139" s="77"/>
      <c r="AB139" s="77"/>
      <c r="AC139" s="77"/>
      <c r="AD139" s="77"/>
      <c r="AF139" s="80"/>
      <c r="AG139" s="80"/>
      <c r="AH139" s="80"/>
      <c r="AI139" s="80"/>
      <c r="AJ139" s="80"/>
      <c r="AK139" s="80"/>
      <c r="AL139" s="80"/>
      <c r="AM139" s="80"/>
      <c r="AN139" s="80"/>
      <c r="AO139" s="80"/>
    </row>
    <row r="140" spans="1:41" x14ac:dyDescent="0.35">
      <c r="A140" s="47">
        <v>8</v>
      </c>
      <c r="B140" s="118">
        <v>46251</v>
      </c>
      <c r="C140" s="119">
        <v>1</v>
      </c>
      <c r="D140" s="119">
        <v>0.56296113999999997</v>
      </c>
      <c r="E140" s="119">
        <v>0.16385384</v>
      </c>
      <c r="F140" s="119">
        <v>1.3563293999999999</v>
      </c>
      <c r="G140" s="119">
        <v>0.90616015000000005</v>
      </c>
      <c r="H140" s="119">
        <v>0.74944653000000006</v>
      </c>
      <c r="I140" s="119">
        <v>0.36747166999999997</v>
      </c>
      <c r="J140" s="119">
        <v>0.21588745000000001</v>
      </c>
      <c r="K140" s="119">
        <v>6.9505880000000006E-2</v>
      </c>
      <c r="L140" s="119">
        <v>3.2121329999999997E-2</v>
      </c>
      <c r="M140" s="2"/>
      <c r="N140" s="2"/>
      <c r="O140" s="2"/>
      <c r="P140" s="2"/>
      <c r="Q140" s="2"/>
      <c r="R140" s="2"/>
      <c r="S140" s="2"/>
      <c r="V140" s="77"/>
      <c r="W140" s="77"/>
      <c r="X140" s="77"/>
      <c r="Y140" s="77"/>
      <c r="Z140" s="77"/>
      <c r="AA140" s="77"/>
      <c r="AB140" s="77"/>
      <c r="AC140" s="77"/>
      <c r="AD140" s="77"/>
      <c r="AF140" s="80"/>
      <c r="AG140" s="80"/>
      <c r="AH140" s="80"/>
      <c r="AI140" s="80"/>
      <c r="AJ140" s="80"/>
      <c r="AK140" s="80"/>
      <c r="AL140" s="80"/>
      <c r="AM140" s="80"/>
      <c r="AN140" s="80"/>
      <c r="AO140" s="80"/>
    </row>
    <row r="141" spans="1:41" x14ac:dyDescent="0.35">
      <c r="A141" s="47">
        <v>8</v>
      </c>
      <c r="B141" s="118">
        <v>46252</v>
      </c>
      <c r="C141" s="119">
        <v>1</v>
      </c>
      <c r="D141" s="119">
        <v>0.56310956000000001</v>
      </c>
      <c r="E141" s="119">
        <v>0.16392079000000001</v>
      </c>
      <c r="F141" s="119">
        <v>1.3642412799999999</v>
      </c>
      <c r="G141" s="119">
        <v>0.91425838999999998</v>
      </c>
      <c r="H141" s="119">
        <v>0.74967395000000003</v>
      </c>
      <c r="I141" s="119">
        <v>0.3675852</v>
      </c>
      <c r="J141" s="119">
        <v>0.21597276000000001</v>
      </c>
      <c r="K141" s="119">
        <v>6.9554210000000005E-2</v>
      </c>
      <c r="L141" s="119">
        <v>3.2140670000000003E-2</v>
      </c>
      <c r="M141" s="2"/>
      <c r="N141" s="2"/>
      <c r="O141" s="2"/>
      <c r="P141" s="2"/>
      <c r="Q141" s="2"/>
      <c r="R141" s="2"/>
      <c r="S141" s="2"/>
      <c r="V141" s="77"/>
      <c r="W141" s="77"/>
      <c r="X141" s="77"/>
      <c r="Y141" s="77"/>
      <c r="Z141" s="77"/>
      <c r="AA141" s="77"/>
      <c r="AB141" s="77"/>
      <c r="AC141" s="77"/>
      <c r="AD141" s="77"/>
      <c r="AF141" s="80"/>
      <c r="AG141" s="80"/>
      <c r="AH141" s="80"/>
      <c r="AI141" s="80"/>
      <c r="AJ141" s="80"/>
      <c r="AK141" s="80"/>
      <c r="AL141" s="80"/>
      <c r="AM141" s="80"/>
      <c r="AN141" s="80"/>
      <c r="AO141" s="80"/>
    </row>
    <row r="142" spans="1:41" x14ac:dyDescent="0.35">
      <c r="A142" s="47">
        <v>8</v>
      </c>
      <c r="B142" s="118">
        <v>46253</v>
      </c>
      <c r="C142" s="119">
        <v>1</v>
      </c>
      <c r="D142" s="119">
        <v>0.56332864999999999</v>
      </c>
      <c r="E142" s="119">
        <v>0.16401963</v>
      </c>
      <c r="F142" s="119">
        <v>1.3721531600000001</v>
      </c>
      <c r="G142" s="119">
        <v>0.92235661999999996</v>
      </c>
      <c r="H142" s="119">
        <v>0.75000966999999996</v>
      </c>
      <c r="I142" s="119">
        <v>0.36775279999999999</v>
      </c>
      <c r="J142" s="119">
        <v>0.21609871999999999</v>
      </c>
      <c r="K142" s="119">
        <v>6.9625560000000003E-2</v>
      </c>
      <c r="L142" s="119">
        <v>3.2169209999999997E-2</v>
      </c>
      <c r="M142" s="2"/>
      <c r="N142" s="2"/>
      <c r="O142" s="2"/>
      <c r="P142" s="2"/>
      <c r="Q142" s="2"/>
      <c r="R142" s="2"/>
      <c r="S142" s="2"/>
      <c r="V142" s="77"/>
      <c r="W142" s="77"/>
      <c r="X142" s="77"/>
      <c r="Y142" s="77"/>
      <c r="Z142" s="77"/>
      <c r="AA142" s="77"/>
      <c r="AB142" s="77"/>
      <c r="AC142" s="77"/>
      <c r="AD142" s="77"/>
      <c r="AF142" s="80"/>
      <c r="AG142" s="80"/>
      <c r="AH142" s="80"/>
      <c r="AI142" s="80"/>
      <c r="AJ142" s="80"/>
      <c r="AK142" s="80"/>
      <c r="AL142" s="80"/>
      <c r="AM142" s="80"/>
      <c r="AN142" s="80"/>
      <c r="AO142" s="80"/>
    </row>
    <row r="143" spans="1:41" x14ac:dyDescent="0.35">
      <c r="A143" s="47">
        <v>8</v>
      </c>
      <c r="B143" s="118">
        <v>46254</v>
      </c>
      <c r="C143" s="119">
        <v>1</v>
      </c>
      <c r="D143" s="119">
        <v>0.56361870000000003</v>
      </c>
      <c r="E143" s="119">
        <v>0.16415046999999999</v>
      </c>
      <c r="F143" s="119">
        <v>1.3800650299999999</v>
      </c>
      <c r="G143" s="119">
        <v>0.93045485999999999</v>
      </c>
      <c r="H143" s="119">
        <v>0.75045413000000005</v>
      </c>
      <c r="I143" s="119">
        <v>0.36797467</v>
      </c>
      <c r="J143" s="119">
        <v>0.21626545999999999</v>
      </c>
      <c r="K143" s="119">
        <v>6.9720009999999999E-2</v>
      </c>
      <c r="L143" s="119">
        <v>3.2206989999999998E-2</v>
      </c>
      <c r="M143" s="2"/>
      <c r="N143" s="2"/>
      <c r="O143" s="2"/>
      <c r="P143" s="2"/>
      <c r="Q143" s="2"/>
      <c r="R143" s="2"/>
      <c r="S143" s="2"/>
      <c r="V143" s="77"/>
      <c r="W143" s="77"/>
      <c r="X143" s="77"/>
      <c r="Y143" s="77"/>
      <c r="Z143" s="77"/>
      <c r="AA143" s="77"/>
      <c r="AB143" s="77"/>
      <c r="AC143" s="77"/>
      <c r="AD143" s="77"/>
      <c r="AF143" s="80"/>
      <c r="AG143" s="80"/>
      <c r="AH143" s="80"/>
      <c r="AI143" s="80"/>
      <c r="AJ143" s="80"/>
      <c r="AK143" s="80"/>
      <c r="AL143" s="80"/>
      <c r="AM143" s="80"/>
      <c r="AN143" s="80"/>
      <c r="AO143" s="80"/>
    </row>
    <row r="144" spans="1:41" x14ac:dyDescent="0.35">
      <c r="A144" s="47">
        <v>8</v>
      </c>
      <c r="B144" s="118">
        <v>46255</v>
      </c>
      <c r="C144" s="119">
        <v>1</v>
      </c>
      <c r="D144" s="119">
        <v>0.56397995000000001</v>
      </c>
      <c r="E144" s="119">
        <v>0.16431344000000001</v>
      </c>
      <c r="F144" s="119">
        <v>1.3879769099999999</v>
      </c>
      <c r="G144" s="119">
        <v>0.93855310000000003</v>
      </c>
      <c r="H144" s="119">
        <v>0.75100769000000001</v>
      </c>
      <c r="I144" s="119">
        <v>0.36825101999999998</v>
      </c>
      <c r="J144" s="119">
        <v>0.21647313000000001</v>
      </c>
      <c r="K144" s="119">
        <v>6.9837650000000001E-2</v>
      </c>
      <c r="L144" s="119">
        <v>3.2254049999999999E-2</v>
      </c>
      <c r="M144" s="2"/>
      <c r="N144" s="2"/>
      <c r="O144" s="2"/>
      <c r="P144" s="2"/>
      <c r="Q144" s="2"/>
      <c r="R144" s="2"/>
      <c r="S144" s="2"/>
      <c r="V144" s="77"/>
      <c r="W144" s="77"/>
      <c r="X144" s="77"/>
      <c r="Y144" s="77"/>
      <c r="Z144" s="77"/>
      <c r="AA144" s="77"/>
      <c r="AB144" s="77"/>
      <c r="AC144" s="77"/>
      <c r="AD144" s="77"/>
      <c r="AF144" s="80"/>
      <c r="AG144" s="80"/>
      <c r="AH144" s="80"/>
      <c r="AI144" s="80"/>
      <c r="AJ144" s="80"/>
      <c r="AK144" s="80"/>
      <c r="AL144" s="80"/>
      <c r="AM144" s="80"/>
      <c r="AN144" s="80"/>
      <c r="AO144" s="80"/>
    </row>
    <row r="145" spans="1:41" x14ac:dyDescent="0.35">
      <c r="A145" s="47">
        <v>8</v>
      </c>
      <c r="B145" s="118">
        <v>46256</v>
      </c>
      <c r="C145" s="119">
        <v>0</v>
      </c>
      <c r="D145" s="119">
        <v>0.59134224999999996</v>
      </c>
      <c r="E145" s="119">
        <v>0.16054836</v>
      </c>
      <c r="F145" s="119">
        <v>0.64148337</v>
      </c>
      <c r="G145" s="119">
        <v>0.52940874000000004</v>
      </c>
      <c r="H145" s="119">
        <v>0.47897086</v>
      </c>
      <c r="I145" s="119">
        <v>0.3156928</v>
      </c>
      <c r="J145" s="119">
        <v>0.19353623</v>
      </c>
      <c r="K145" s="119">
        <v>5.2449320000000001E-2</v>
      </c>
      <c r="L145" s="119">
        <v>2.321032E-2</v>
      </c>
      <c r="M145" s="2"/>
      <c r="N145" s="2"/>
      <c r="O145" s="2"/>
      <c r="P145" s="2"/>
      <c r="Q145" s="2"/>
      <c r="R145" s="2"/>
      <c r="S145" s="2"/>
      <c r="V145" s="77"/>
      <c r="W145" s="77"/>
      <c r="X145" s="77"/>
      <c r="Y145" s="77"/>
      <c r="Z145" s="77"/>
      <c r="AA145" s="77"/>
      <c r="AB145" s="77"/>
      <c r="AC145" s="77"/>
      <c r="AD145" s="77"/>
      <c r="AF145" s="80"/>
      <c r="AG145" s="80"/>
      <c r="AH145" s="80"/>
      <c r="AI145" s="80"/>
      <c r="AJ145" s="80"/>
      <c r="AK145" s="80"/>
      <c r="AL145" s="80"/>
      <c r="AM145" s="80"/>
      <c r="AN145" s="80"/>
      <c r="AO145" s="80"/>
    </row>
    <row r="146" spans="1:41" x14ac:dyDescent="0.35">
      <c r="A146" s="47">
        <v>8</v>
      </c>
      <c r="B146" s="118">
        <v>46257</v>
      </c>
      <c r="C146" s="119">
        <v>0</v>
      </c>
      <c r="D146" s="119">
        <v>0.59181013000000005</v>
      </c>
      <c r="E146" s="119">
        <v>0.16074954999999999</v>
      </c>
      <c r="F146" s="119">
        <v>0.64228251000000003</v>
      </c>
      <c r="G146" s="119">
        <v>0.53449530999999995</v>
      </c>
      <c r="H146" s="119">
        <v>0.47932544999999999</v>
      </c>
      <c r="I146" s="119">
        <v>0.31598721000000002</v>
      </c>
      <c r="J146" s="119">
        <v>0.19380003000000001</v>
      </c>
      <c r="K146" s="119">
        <v>5.2607960000000002E-2</v>
      </c>
      <c r="L146" s="119">
        <v>2.3278E-2</v>
      </c>
      <c r="M146" s="2"/>
      <c r="N146" s="2"/>
      <c r="O146" s="2"/>
      <c r="P146" s="2"/>
      <c r="Q146" s="2"/>
      <c r="R146" s="2"/>
      <c r="S146" s="2"/>
      <c r="V146" s="77"/>
      <c r="W146" s="77"/>
      <c r="X146" s="77"/>
      <c r="Y146" s="77"/>
      <c r="Z146" s="77"/>
      <c r="AA146" s="77"/>
      <c r="AB146" s="77"/>
      <c r="AC146" s="77"/>
      <c r="AD146" s="77"/>
      <c r="AF146" s="80"/>
      <c r="AG146" s="80"/>
      <c r="AH146" s="80"/>
      <c r="AI146" s="80"/>
      <c r="AJ146" s="80"/>
      <c r="AK146" s="80"/>
      <c r="AL146" s="80"/>
      <c r="AM146" s="80"/>
      <c r="AN146" s="80"/>
      <c r="AO146" s="80"/>
    </row>
    <row r="147" spans="1:41" x14ac:dyDescent="0.35">
      <c r="A147" s="47">
        <v>8</v>
      </c>
      <c r="B147" s="118">
        <v>46258</v>
      </c>
      <c r="C147" s="119">
        <v>1</v>
      </c>
      <c r="D147" s="119">
        <v>0.56549287000000004</v>
      </c>
      <c r="E147" s="119">
        <v>0.16499594000000001</v>
      </c>
      <c r="F147" s="119">
        <v>1.4117125399999999</v>
      </c>
      <c r="G147" s="119">
        <v>0.96284780999999997</v>
      </c>
      <c r="H147" s="119">
        <v>0.75332599</v>
      </c>
      <c r="I147" s="119">
        <v>0.36940833000000001</v>
      </c>
      <c r="J147" s="119">
        <v>0.21734286999999999</v>
      </c>
      <c r="K147" s="119">
        <v>7.0330320000000002E-2</v>
      </c>
      <c r="L147" s="119">
        <v>3.2451140000000003E-2</v>
      </c>
      <c r="M147" s="2"/>
      <c r="N147" s="2"/>
      <c r="O147" s="2"/>
      <c r="P147" s="2"/>
      <c r="Q147" s="2"/>
      <c r="R147" s="2"/>
      <c r="S147" s="2"/>
      <c r="V147" s="77"/>
      <c r="W147" s="77"/>
      <c r="X147" s="77"/>
      <c r="Y147" s="77"/>
      <c r="Z147" s="77"/>
      <c r="AA147" s="77"/>
      <c r="AB147" s="77"/>
      <c r="AC147" s="77"/>
      <c r="AD147" s="77"/>
      <c r="AF147" s="80"/>
      <c r="AG147" s="80"/>
      <c r="AH147" s="80"/>
      <c r="AI147" s="80"/>
      <c r="AJ147" s="80"/>
      <c r="AK147" s="80"/>
      <c r="AL147" s="80"/>
      <c r="AM147" s="80"/>
      <c r="AN147" s="80"/>
      <c r="AO147" s="80"/>
    </row>
    <row r="148" spans="1:41" x14ac:dyDescent="0.35">
      <c r="A148" s="47">
        <v>8</v>
      </c>
      <c r="B148" s="118">
        <v>46259</v>
      </c>
      <c r="C148" s="119">
        <v>1</v>
      </c>
      <c r="D148" s="119">
        <v>0.56614069</v>
      </c>
      <c r="E148" s="119">
        <v>0.16528819</v>
      </c>
      <c r="F148" s="119">
        <v>1.4196244200000001</v>
      </c>
      <c r="G148" s="119">
        <v>0.97094603999999995</v>
      </c>
      <c r="H148" s="119">
        <v>0.75431866999999997</v>
      </c>
      <c r="I148" s="119">
        <v>0.36990389000000001</v>
      </c>
      <c r="J148" s="119">
        <v>0.21771529000000001</v>
      </c>
      <c r="K148" s="119">
        <v>7.0541279999999998E-2</v>
      </c>
      <c r="L148" s="119">
        <v>3.2535540000000002E-2</v>
      </c>
      <c r="M148" s="2"/>
      <c r="N148" s="2"/>
      <c r="O148" s="2"/>
      <c r="P148" s="2"/>
      <c r="Q148" s="2"/>
      <c r="R148" s="2"/>
      <c r="S148" s="2"/>
      <c r="V148" s="77"/>
      <c r="W148" s="77"/>
      <c r="X148" s="77"/>
      <c r="Y148" s="77"/>
      <c r="Z148" s="77"/>
      <c r="AA148" s="77"/>
      <c r="AB148" s="77"/>
      <c r="AC148" s="77"/>
      <c r="AD148" s="77"/>
      <c r="AF148" s="80"/>
      <c r="AG148" s="80"/>
      <c r="AH148" s="80"/>
      <c r="AI148" s="80"/>
      <c r="AJ148" s="80"/>
      <c r="AK148" s="80"/>
      <c r="AL148" s="80"/>
      <c r="AM148" s="80"/>
      <c r="AN148" s="80"/>
      <c r="AO148" s="80"/>
    </row>
    <row r="149" spans="1:41" x14ac:dyDescent="0.35">
      <c r="A149" s="47">
        <v>8</v>
      </c>
      <c r="B149" s="118">
        <v>46260</v>
      </c>
      <c r="C149" s="119">
        <v>1</v>
      </c>
      <c r="D149" s="119">
        <v>0.56686040999999998</v>
      </c>
      <c r="E149" s="119">
        <v>0.16561286</v>
      </c>
      <c r="F149" s="119">
        <v>1.4275362899999999</v>
      </c>
      <c r="G149" s="119">
        <v>0.97904427999999999</v>
      </c>
      <c r="H149" s="119">
        <v>0.75542151000000002</v>
      </c>
      <c r="I149" s="119">
        <v>0.37045444</v>
      </c>
      <c r="J149" s="119">
        <v>0.21812904</v>
      </c>
      <c r="K149" s="119">
        <v>7.0775649999999996E-2</v>
      </c>
      <c r="L149" s="119">
        <v>3.2629289999999998E-2</v>
      </c>
      <c r="M149" s="2"/>
      <c r="N149" s="2"/>
      <c r="O149" s="2"/>
      <c r="P149" s="2"/>
      <c r="Q149" s="2"/>
      <c r="R149" s="2"/>
      <c r="S149" s="2"/>
      <c r="V149" s="77"/>
      <c r="W149" s="77"/>
      <c r="X149" s="77"/>
      <c r="Y149" s="77"/>
      <c r="Z149" s="77"/>
      <c r="AA149" s="77"/>
      <c r="AB149" s="77"/>
      <c r="AC149" s="77"/>
      <c r="AD149" s="77"/>
      <c r="AF149" s="80"/>
      <c r="AG149" s="80"/>
      <c r="AH149" s="80"/>
      <c r="AI149" s="80"/>
      <c r="AJ149" s="80"/>
      <c r="AK149" s="80"/>
      <c r="AL149" s="80"/>
      <c r="AM149" s="80"/>
      <c r="AN149" s="80"/>
      <c r="AO149" s="80"/>
    </row>
    <row r="150" spans="1:41" x14ac:dyDescent="0.35">
      <c r="A150" s="47">
        <v>8</v>
      </c>
      <c r="B150" s="118">
        <v>46261</v>
      </c>
      <c r="C150" s="119">
        <v>1</v>
      </c>
      <c r="D150" s="119">
        <v>0.56765204000000002</v>
      </c>
      <c r="E150" s="119">
        <v>0.16596997999999999</v>
      </c>
      <c r="F150" s="119">
        <v>1.4354481699999999</v>
      </c>
      <c r="G150" s="119">
        <v>0.98714252000000002</v>
      </c>
      <c r="H150" s="119">
        <v>0.75663457000000001</v>
      </c>
      <c r="I150" s="119">
        <v>0.37106001</v>
      </c>
      <c r="J150" s="119">
        <v>0.21858412999999999</v>
      </c>
      <c r="K150" s="119">
        <v>7.1033440000000003E-2</v>
      </c>
      <c r="L150" s="119">
        <v>3.2732419999999998E-2</v>
      </c>
      <c r="M150" s="2"/>
      <c r="N150" s="2"/>
      <c r="O150" s="2"/>
      <c r="P150" s="2"/>
      <c r="Q150" s="2"/>
      <c r="R150" s="2"/>
      <c r="S150" s="2"/>
      <c r="V150" s="77"/>
      <c r="W150" s="77"/>
      <c r="X150" s="77"/>
      <c r="Y150" s="77"/>
      <c r="Z150" s="77"/>
      <c r="AA150" s="77"/>
      <c r="AB150" s="77"/>
      <c r="AC150" s="77"/>
      <c r="AD150" s="77"/>
      <c r="AF150" s="80"/>
      <c r="AG150" s="80"/>
      <c r="AH150" s="80"/>
      <c r="AI150" s="80"/>
      <c r="AJ150" s="80"/>
      <c r="AK150" s="80"/>
      <c r="AL150" s="80"/>
      <c r="AM150" s="80"/>
      <c r="AN150" s="80"/>
      <c r="AO150" s="80"/>
    </row>
    <row r="151" spans="1:41" x14ac:dyDescent="0.35">
      <c r="A151" s="47">
        <v>8</v>
      </c>
      <c r="B151" s="118">
        <v>46262</v>
      </c>
      <c r="C151" s="119">
        <v>1</v>
      </c>
      <c r="D151" s="119">
        <v>0.56851558999999996</v>
      </c>
      <c r="E151" s="119">
        <v>0.16635954</v>
      </c>
      <c r="F151" s="119">
        <v>1.4433600499999999</v>
      </c>
      <c r="G151" s="119">
        <v>0.99524075000000001</v>
      </c>
      <c r="H151" s="119">
        <v>0.75795780999999995</v>
      </c>
      <c r="I151" s="119">
        <v>0.37172058000000002</v>
      </c>
      <c r="J151" s="119">
        <v>0.21908056000000001</v>
      </c>
      <c r="K151" s="119">
        <v>7.1314649999999993E-2</v>
      </c>
      <c r="L151" s="119">
        <v>3.284492E-2</v>
      </c>
      <c r="M151" s="2"/>
      <c r="N151" s="2"/>
      <c r="O151" s="2"/>
      <c r="P151" s="2"/>
      <c r="Q151" s="2"/>
      <c r="R151" s="2"/>
      <c r="S151" s="2"/>
      <c r="V151" s="77"/>
      <c r="W151" s="77"/>
      <c r="X151" s="77"/>
      <c r="Y151" s="77"/>
      <c r="Z151" s="77"/>
      <c r="AA151" s="77"/>
      <c r="AB151" s="77"/>
      <c r="AC151" s="77"/>
      <c r="AD151" s="77"/>
      <c r="AF151" s="80"/>
      <c r="AG151" s="80"/>
      <c r="AH151" s="80"/>
      <c r="AI151" s="80"/>
      <c r="AJ151" s="80"/>
      <c r="AK151" s="80"/>
      <c r="AL151" s="80"/>
      <c r="AM151" s="80"/>
      <c r="AN151" s="80"/>
      <c r="AO151" s="80"/>
    </row>
    <row r="152" spans="1:41" x14ac:dyDescent="0.35">
      <c r="A152" s="47">
        <v>8</v>
      </c>
      <c r="B152" s="118">
        <v>46263</v>
      </c>
      <c r="C152" s="119">
        <v>0</v>
      </c>
      <c r="D152" s="119">
        <v>0.59601716999999999</v>
      </c>
      <c r="E152" s="119">
        <v>0.16255860999999999</v>
      </c>
      <c r="F152" s="119">
        <v>0.64707733999999995</v>
      </c>
      <c r="G152" s="119">
        <v>0.56501475999999995</v>
      </c>
      <c r="H152" s="119">
        <v>0.48251378</v>
      </c>
      <c r="I152" s="119">
        <v>0.31863443000000002</v>
      </c>
      <c r="J152" s="119">
        <v>0.19617201000000001</v>
      </c>
      <c r="K152" s="119">
        <v>5.4034329999999998E-2</v>
      </c>
      <c r="L152" s="119">
        <v>2.3886589999999999E-2</v>
      </c>
      <c r="M152" s="2"/>
      <c r="N152" s="2"/>
      <c r="O152" s="2"/>
      <c r="P152" s="2"/>
      <c r="Q152" s="2"/>
      <c r="R152" s="2"/>
      <c r="S152" s="2"/>
      <c r="V152" s="77"/>
      <c r="W152" s="77"/>
      <c r="X152" s="77"/>
      <c r="Y152" s="77"/>
      <c r="Z152" s="77"/>
      <c r="AA152" s="77"/>
      <c r="AB152" s="77"/>
      <c r="AC152" s="77"/>
      <c r="AD152" s="77"/>
      <c r="AF152" s="80"/>
      <c r="AG152" s="80"/>
      <c r="AH152" s="80"/>
      <c r="AI152" s="80"/>
      <c r="AJ152" s="80"/>
      <c r="AK152" s="80"/>
      <c r="AL152" s="80"/>
      <c r="AM152" s="80"/>
      <c r="AN152" s="80"/>
      <c r="AO152" s="80"/>
    </row>
    <row r="153" spans="1:41" x14ac:dyDescent="0.35">
      <c r="A153" s="47">
        <v>8</v>
      </c>
      <c r="B153" s="118">
        <v>46264</v>
      </c>
      <c r="C153" s="119">
        <v>0</v>
      </c>
      <c r="D153" s="119">
        <v>0.59695167999999998</v>
      </c>
      <c r="E153" s="119">
        <v>0.16296046</v>
      </c>
      <c r="F153" s="119">
        <v>0.64787647999999998</v>
      </c>
      <c r="G153" s="119">
        <v>0.57010134000000001</v>
      </c>
      <c r="H153" s="119">
        <v>0.48322199999999998</v>
      </c>
      <c r="I153" s="119">
        <v>0.31922244999999999</v>
      </c>
      <c r="J153" s="119">
        <v>0.19669890000000001</v>
      </c>
      <c r="K153" s="119">
        <v>5.4351169999999997E-2</v>
      </c>
      <c r="L153" s="119">
        <v>2.4021770000000001E-2</v>
      </c>
      <c r="M153" s="2"/>
      <c r="N153" s="2"/>
      <c r="O153" s="2"/>
      <c r="P153" s="2"/>
      <c r="Q153" s="2"/>
      <c r="R153" s="2"/>
      <c r="S153" s="2"/>
      <c r="V153" s="77"/>
      <c r="W153" s="77"/>
      <c r="X153" s="77"/>
      <c r="Y153" s="77"/>
      <c r="Z153" s="77"/>
      <c r="AA153" s="77"/>
      <c r="AB153" s="77"/>
      <c r="AC153" s="77"/>
      <c r="AD153" s="77"/>
      <c r="AF153" s="80"/>
      <c r="AG153" s="80"/>
      <c r="AH153" s="80"/>
      <c r="AI153" s="80"/>
      <c r="AJ153" s="80"/>
      <c r="AK153" s="80"/>
      <c r="AL153" s="80"/>
      <c r="AM153" s="80"/>
      <c r="AN153" s="80"/>
      <c r="AO153" s="80"/>
    </row>
    <row r="154" spans="1:41" x14ac:dyDescent="0.35">
      <c r="A154" s="47">
        <v>8</v>
      </c>
      <c r="B154" s="118">
        <v>46265</v>
      </c>
      <c r="C154" s="119">
        <v>1</v>
      </c>
      <c r="D154" s="119">
        <v>0.57153693000000005</v>
      </c>
      <c r="E154" s="119">
        <v>0.16772252000000001</v>
      </c>
      <c r="F154" s="119">
        <v>1.4670956799999999</v>
      </c>
      <c r="G154" s="119">
        <v>1.0195354599999999</v>
      </c>
      <c r="H154" s="119">
        <v>0.76258751999999996</v>
      </c>
      <c r="I154" s="119">
        <v>0.37403177999999998</v>
      </c>
      <c r="J154" s="119">
        <v>0.22081745999999999</v>
      </c>
      <c r="K154" s="119">
        <v>7.229853E-2</v>
      </c>
      <c r="L154" s="119">
        <v>3.3238509999999999E-2</v>
      </c>
      <c r="M154" s="2"/>
      <c r="N154" s="2"/>
      <c r="O154" s="2"/>
      <c r="P154" s="2"/>
      <c r="Q154" s="2"/>
      <c r="R154" s="2"/>
      <c r="S154" s="2"/>
      <c r="V154" s="77"/>
      <c r="W154" s="77"/>
      <c r="X154" s="77"/>
      <c r="Y154" s="77"/>
      <c r="Z154" s="77"/>
      <c r="AA154" s="77"/>
      <c r="AB154" s="77"/>
      <c r="AC154" s="77"/>
      <c r="AD154" s="77"/>
      <c r="AF154" s="80"/>
      <c r="AG154" s="80"/>
      <c r="AH154" s="80"/>
      <c r="AI154" s="80"/>
      <c r="AJ154" s="80"/>
      <c r="AK154" s="80"/>
      <c r="AL154" s="80"/>
      <c r="AM154" s="80"/>
      <c r="AN154" s="80"/>
      <c r="AO154" s="80"/>
    </row>
    <row r="155" spans="1:41" x14ac:dyDescent="0.35">
      <c r="A155" s="47">
        <v>9</v>
      </c>
      <c r="B155" s="118">
        <v>46266</v>
      </c>
      <c r="C155" s="119">
        <v>1</v>
      </c>
      <c r="D155" s="119">
        <v>0.57268717000000002</v>
      </c>
      <c r="E155" s="119">
        <v>0.16824141000000001</v>
      </c>
      <c r="F155" s="119">
        <v>1.4670956799999999</v>
      </c>
      <c r="G155" s="119">
        <v>1.0195354599999999</v>
      </c>
      <c r="H155" s="119">
        <v>0.76435006000000005</v>
      </c>
      <c r="I155" s="119">
        <v>0.37491165999999998</v>
      </c>
      <c r="J155" s="119">
        <v>0.2214787</v>
      </c>
      <c r="K155" s="119">
        <v>7.2673089999999996E-2</v>
      </c>
      <c r="L155" s="119">
        <v>3.3388349999999997E-2</v>
      </c>
      <c r="M155" s="2"/>
      <c r="N155" s="2"/>
      <c r="O155" s="2"/>
      <c r="P155" s="2"/>
      <c r="Q155" s="2"/>
      <c r="R155" s="2"/>
      <c r="S155" s="2"/>
      <c r="V155" s="77"/>
      <c r="W155" s="77"/>
      <c r="X155" s="77"/>
      <c r="Y155" s="77"/>
      <c r="Z155" s="77"/>
      <c r="AA155" s="77"/>
      <c r="AB155" s="77"/>
      <c r="AC155" s="77"/>
      <c r="AD155" s="77"/>
      <c r="AF155" s="80"/>
      <c r="AG155" s="80"/>
      <c r="AH155" s="80"/>
      <c r="AI155" s="80"/>
      <c r="AJ155" s="80"/>
      <c r="AK155" s="80"/>
      <c r="AL155" s="80"/>
      <c r="AM155" s="80"/>
      <c r="AN155" s="80"/>
      <c r="AO155" s="80"/>
    </row>
    <row r="156" spans="1:41" x14ac:dyDescent="0.35">
      <c r="A156" s="47">
        <v>9</v>
      </c>
      <c r="B156" s="118">
        <v>46267</v>
      </c>
      <c r="C156" s="119">
        <v>1</v>
      </c>
      <c r="D156" s="119">
        <v>0.57390863999999997</v>
      </c>
      <c r="E156" s="119">
        <v>0.16879243999999999</v>
      </c>
      <c r="F156" s="119">
        <v>1.4750075499999999</v>
      </c>
      <c r="G156" s="119">
        <v>1.0276337</v>
      </c>
      <c r="H156" s="119">
        <v>0.76622177000000002</v>
      </c>
      <c r="I156" s="119">
        <v>0.37584603</v>
      </c>
      <c r="J156" s="119">
        <v>0.22218089999999999</v>
      </c>
      <c r="K156" s="119">
        <v>7.3070860000000001E-2</v>
      </c>
      <c r="L156" s="119">
        <v>3.3547470000000003E-2</v>
      </c>
      <c r="M156" s="2"/>
      <c r="N156" s="2"/>
      <c r="O156" s="2"/>
      <c r="P156" s="2"/>
      <c r="Q156" s="2"/>
      <c r="R156" s="2"/>
      <c r="S156" s="2"/>
      <c r="V156" s="77"/>
      <c r="W156" s="77"/>
      <c r="X156" s="77"/>
      <c r="Y156" s="77"/>
      <c r="Z156" s="77"/>
      <c r="AA156" s="77"/>
      <c r="AB156" s="77"/>
      <c r="AC156" s="77"/>
      <c r="AD156" s="77"/>
      <c r="AF156" s="80"/>
      <c r="AG156" s="80"/>
      <c r="AH156" s="80"/>
      <c r="AI156" s="80"/>
      <c r="AJ156" s="80"/>
      <c r="AK156" s="80"/>
      <c r="AL156" s="80"/>
      <c r="AM156" s="80"/>
      <c r="AN156" s="80"/>
      <c r="AO156" s="80"/>
    </row>
    <row r="157" spans="1:41" x14ac:dyDescent="0.35">
      <c r="A157" s="47">
        <v>9</v>
      </c>
      <c r="B157" s="118">
        <v>46268</v>
      </c>
      <c r="C157" s="119">
        <v>1</v>
      </c>
      <c r="D157" s="119">
        <v>0.57520108999999997</v>
      </c>
      <c r="E157" s="119">
        <v>0.16937548999999999</v>
      </c>
      <c r="F157" s="119">
        <v>1.4829194299999999</v>
      </c>
      <c r="G157" s="119">
        <v>1.03573194</v>
      </c>
      <c r="H157" s="119">
        <v>0.76820222999999999</v>
      </c>
      <c r="I157" s="119">
        <v>0.37683470000000002</v>
      </c>
      <c r="J157" s="119">
        <v>0.22292389000000001</v>
      </c>
      <c r="K157" s="119">
        <v>7.3491730000000005E-2</v>
      </c>
      <c r="L157" s="119">
        <v>3.3715839999999997E-2</v>
      </c>
      <c r="M157" s="2"/>
      <c r="N157" s="2"/>
      <c r="O157" s="2"/>
      <c r="P157" s="2"/>
      <c r="Q157" s="2"/>
      <c r="R157" s="2"/>
      <c r="S157" s="2"/>
      <c r="V157" s="77"/>
      <c r="W157" s="77"/>
      <c r="X157" s="77"/>
      <c r="Y157" s="77"/>
      <c r="Z157" s="77"/>
      <c r="AA157" s="77"/>
      <c r="AB157" s="77"/>
      <c r="AC157" s="77"/>
      <c r="AD157" s="77"/>
      <c r="AF157" s="80"/>
      <c r="AG157" s="80"/>
      <c r="AH157" s="80"/>
      <c r="AI157" s="80"/>
      <c r="AJ157" s="80"/>
      <c r="AK157" s="80"/>
      <c r="AL157" s="80"/>
      <c r="AM157" s="80"/>
      <c r="AN157" s="80"/>
      <c r="AO157" s="80"/>
    </row>
    <row r="158" spans="1:41" x14ac:dyDescent="0.35">
      <c r="A158" s="47">
        <v>9</v>
      </c>
      <c r="B158" s="118">
        <v>46269</v>
      </c>
      <c r="C158" s="119">
        <v>1</v>
      </c>
      <c r="D158" s="119">
        <v>0.57656421999999996</v>
      </c>
      <c r="E158" s="119">
        <v>0.16999042</v>
      </c>
      <c r="F158" s="119">
        <v>1.4908313</v>
      </c>
      <c r="G158" s="119">
        <v>1.0438301699999999</v>
      </c>
      <c r="H158" s="119">
        <v>0.77029099999999995</v>
      </c>
      <c r="I158" s="119">
        <v>0.37787743000000001</v>
      </c>
      <c r="J158" s="119">
        <v>0.22370751999999999</v>
      </c>
      <c r="K158" s="119">
        <v>7.3935630000000002E-2</v>
      </c>
      <c r="L158" s="119">
        <v>3.389342E-2</v>
      </c>
      <c r="M158" s="2"/>
      <c r="N158" s="2"/>
      <c r="O158" s="2"/>
      <c r="P158" s="2"/>
      <c r="Q158" s="2"/>
      <c r="R158" s="2"/>
      <c r="S158" s="2"/>
      <c r="V158" s="77"/>
      <c r="W158" s="77"/>
      <c r="X158" s="77"/>
      <c r="Y158" s="77"/>
      <c r="Z158" s="77"/>
      <c r="AA158" s="77"/>
      <c r="AB158" s="77"/>
      <c r="AC158" s="77"/>
      <c r="AD158" s="77"/>
      <c r="AF158" s="80"/>
      <c r="AG158" s="80"/>
      <c r="AH158" s="80"/>
      <c r="AI158" s="80"/>
      <c r="AJ158" s="80"/>
      <c r="AK158" s="80"/>
      <c r="AL158" s="80"/>
      <c r="AM158" s="80"/>
      <c r="AN158" s="80"/>
      <c r="AO158" s="80"/>
    </row>
    <row r="159" spans="1:41" x14ac:dyDescent="0.35">
      <c r="A159" s="47">
        <v>9</v>
      </c>
      <c r="B159" s="118">
        <v>46270</v>
      </c>
      <c r="C159" s="119">
        <v>0</v>
      </c>
      <c r="D159" s="119">
        <v>0.60394734999999999</v>
      </c>
      <c r="E159" s="119">
        <v>0.16596865</v>
      </c>
      <c r="F159" s="119">
        <v>0.65187218000000002</v>
      </c>
      <c r="G159" s="119">
        <v>0.59553422</v>
      </c>
      <c r="H159" s="119">
        <v>0.48852371999999999</v>
      </c>
      <c r="I159" s="119">
        <v>0.32362437999999999</v>
      </c>
      <c r="J159" s="119">
        <v>0.20064314999999999</v>
      </c>
      <c r="K159" s="119">
        <v>5.6723019999999999E-2</v>
      </c>
      <c r="L159" s="119">
        <v>2.503375E-2</v>
      </c>
      <c r="M159" s="2"/>
      <c r="N159" s="2"/>
      <c r="O159" s="2"/>
      <c r="P159" s="2"/>
      <c r="Q159" s="2"/>
      <c r="R159" s="2"/>
      <c r="S159" s="2"/>
      <c r="V159" s="77"/>
      <c r="W159" s="77"/>
      <c r="X159" s="77"/>
      <c r="Y159" s="77"/>
      <c r="Z159" s="77"/>
      <c r="AA159" s="77"/>
      <c r="AB159" s="77"/>
      <c r="AC159" s="77"/>
      <c r="AD159" s="77"/>
      <c r="AF159" s="80"/>
      <c r="AG159" s="80"/>
      <c r="AH159" s="80"/>
      <c r="AI159" s="80"/>
      <c r="AJ159" s="80"/>
      <c r="AK159" s="80"/>
      <c r="AL159" s="80"/>
      <c r="AM159" s="80"/>
      <c r="AN159" s="80"/>
      <c r="AO159" s="80"/>
    </row>
    <row r="160" spans="1:41" x14ac:dyDescent="0.35">
      <c r="A160" s="47">
        <v>9</v>
      </c>
      <c r="B160" s="118">
        <v>46271</v>
      </c>
      <c r="C160" s="119">
        <v>0</v>
      </c>
      <c r="D160" s="119">
        <v>0.60534233000000004</v>
      </c>
      <c r="E160" s="119">
        <v>0.16656850000000001</v>
      </c>
      <c r="F160" s="119">
        <v>0.65267131</v>
      </c>
      <c r="G160" s="119">
        <v>0.60062079000000002</v>
      </c>
      <c r="H160" s="119">
        <v>0.48958089999999999</v>
      </c>
      <c r="I160" s="119">
        <v>0.32450214999999999</v>
      </c>
      <c r="J160" s="119">
        <v>0.20142964999999999</v>
      </c>
      <c r="K160" s="119">
        <v>5.7195969999999999E-2</v>
      </c>
      <c r="L160" s="119">
        <v>2.5235540000000001E-2</v>
      </c>
      <c r="M160" s="2"/>
      <c r="N160" s="2"/>
      <c r="O160" s="2"/>
      <c r="P160" s="2"/>
      <c r="Q160" s="2"/>
      <c r="R160" s="2"/>
      <c r="S160" s="2"/>
      <c r="V160" s="77"/>
      <c r="W160" s="77"/>
      <c r="X160" s="77"/>
      <c r="Y160" s="77"/>
      <c r="Z160" s="77"/>
      <c r="AA160" s="77"/>
      <c r="AB160" s="77"/>
      <c r="AC160" s="77"/>
      <c r="AD160" s="77"/>
      <c r="AF160" s="80"/>
      <c r="AG160" s="80"/>
      <c r="AH160" s="80"/>
      <c r="AI160" s="80"/>
      <c r="AJ160" s="80"/>
      <c r="AK160" s="80"/>
      <c r="AL160" s="80"/>
      <c r="AM160" s="80"/>
      <c r="AN160" s="80"/>
      <c r="AO160" s="80"/>
    </row>
    <row r="161" spans="1:41" x14ac:dyDescent="0.35">
      <c r="A161" s="47">
        <v>9</v>
      </c>
      <c r="B161" s="118">
        <v>46272</v>
      </c>
      <c r="C161" s="119">
        <v>1</v>
      </c>
      <c r="D161" s="119">
        <v>0.58107405999999995</v>
      </c>
      <c r="E161" s="119">
        <v>0.17202487999999999</v>
      </c>
      <c r="F161" s="119">
        <v>1.51456693</v>
      </c>
      <c r="G161" s="119">
        <v>1.0681248800000001</v>
      </c>
      <c r="H161" s="119">
        <v>0.77720159</v>
      </c>
      <c r="I161" s="119">
        <v>0.38132726</v>
      </c>
      <c r="J161" s="119">
        <v>0.22630011999999999</v>
      </c>
      <c r="K161" s="119">
        <v>7.5404219999999994E-2</v>
      </c>
      <c r="L161" s="119">
        <v>3.4480919999999998E-2</v>
      </c>
      <c r="M161" s="2"/>
      <c r="N161" s="2"/>
      <c r="O161" s="2"/>
      <c r="P161" s="2"/>
      <c r="Q161" s="2"/>
      <c r="R161" s="2"/>
      <c r="S161" s="2"/>
      <c r="V161" s="77"/>
      <c r="W161" s="77"/>
      <c r="X161" s="77"/>
      <c r="Y161" s="77"/>
      <c r="Z161" s="77"/>
      <c r="AA161" s="77"/>
      <c r="AB161" s="77"/>
      <c r="AC161" s="77"/>
      <c r="AD161" s="77"/>
      <c r="AF161" s="80"/>
      <c r="AG161" s="80"/>
      <c r="AH161" s="80"/>
      <c r="AI161" s="80"/>
      <c r="AJ161" s="80"/>
      <c r="AK161" s="80"/>
      <c r="AL161" s="80"/>
      <c r="AM161" s="80"/>
      <c r="AN161" s="80"/>
      <c r="AO161" s="80"/>
    </row>
    <row r="162" spans="1:41" x14ac:dyDescent="0.35">
      <c r="A162" s="47">
        <v>9</v>
      </c>
      <c r="B162" s="118">
        <v>46273</v>
      </c>
      <c r="C162" s="119">
        <v>1</v>
      </c>
      <c r="D162" s="119">
        <v>0.58271607000000003</v>
      </c>
      <c r="E162" s="119">
        <v>0.17276563</v>
      </c>
      <c r="F162" s="119">
        <v>1.52247881</v>
      </c>
      <c r="G162" s="119">
        <v>1.0762231200000001</v>
      </c>
      <c r="H162" s="119">
        <v>0.77971771000000001</v>
      </c>
      <c r="I162" s="119">
        <v>0.38258333</v>
      </c>
      <c r="J162" s="119">
        <v>0.22724407999999999</v>
      </c>
      <c r="K162" s="119">
        <v>7.5938930000000002E-2</v>
      </c>
      <c r="L162" s="119">
        <v>3.4694830000000003E-2</v>
      </c>
      <c r="M162" s="2"/>
      <c r="N162" s="2"/>
      <c r="O162" s="2"/>
      <c r="P162" s="2"/>
      <c r="Q162" s="2"/>
      <c r="R162" s="2"/>
      <c r="S162" s="2"/>
      <c r="V162" s="77"/>
      <c r="W162" s="77"/>
      <c r="X162" s="77"/>
      <c r="Y162" s="77"/>
      <c r="Z162" s="77"/>
      <c r="AA162" s="77"/>
      <c r="AB162" s="77"/>
      <c r="AC162" s="77"/>
      <c r="AD162" s="77"/>
      <c r="AF162" s="80"/>
      <c r="AG162" s="80"/>
      <c r="AH162" s="80"/>
      <c r="AI162" s="80"/>
      <c r="AJ162" s="80"/>
      <c r="AK162" s="80"/>
      <c r="AL162" s="80"/>
      <c r="AM162" s="80"/>
      <c r="AN162" s="80"/>
      <c r="AO162" s="80"/>
    </row>
    <row r="163" spans="1:41" x14ac:dyDescent="0.35">
      <c r="A163" s="47">
        <v>9</v>
      </c>
      <c r="B163" s="118">
        <v>46274</v>
      </c>
      <c r="C163" s="119">
        <v>1</v>
      </c>
      <c r="D163" s="119">
        <v>0.58442665000000005</v>
      </c>
      <c r="E163" s="119">
        <v>0.17353729000000001</v>
      </c>
      <c r="F163" s="119">
        <v>1.5303906899999999</v>
      </c>
      <c r="G163" s="119">
        <v>1.0843213599999999</v>
      </c>
      <c r="H163" s="119">
        <v>0.78233887999999996</v>
      </c>
      <c r="I163" s="119">
        <v>0.38389183999999998</v>
      </c>
      <c r="J163" s="119">
        <v>0.22822744</v>
      </c>
      <c r="K163" s="119">
        <v>7.6495969999999996E-2</v>
      </c>
      <c r="L163" s="119">
        <v>3.4917669999999998E-2</v>
      </c>
      <c r="M163" s="2"/>
      <c r="N163" s="2"/>
      <c r="O163" s="2"/>
      <c r="P163" s="2"/>
      <c r="Q163" s="2"/>
      <c r="R163" s="2"/>
      <c r="S163" s="2"/>
      <c r="V163" s="77"/>
      <c r="W163" s="77"/>
      <c r="X163" s="77"/>
      <c r="Y163" s="77"/>
      <c r="Z163" s="77"/>
      <c r="AA163" s="77"/>
      <c r="AB163" s="77"/>
      <c r="AC163" s="77"/>
      <c r="AD163" s="77"/>
      <c r="AF163" s="80"/>
      <c r="AG163" s="80"/>
      <c r="AH163" s="80"/>
      <c r="AI163" s="80"/>
      <c r="AJ163" s="80"/>
      <c r="AK163" s="80"/>
      <c r="AL163" s="80"/>
      <c r="AM163" s="80"/>
      <c r="AN163" s="80"/>
      <c r="AO163" s="80"/>
    </row>
    <row r="164" spans="1:41" x14ac:dyDescent="0.35">
      <c r="A164" s="47">
        <v>9</v>
      </c>
      <c r="B164" s="118">
        <v>46275</v>
      </c>
      <c r="C164" s="119">
        <v>1</v>
      </c>
      <c r="D164" s="119">
        <v>0.58620523000000002</v>
      </c>
      <c r="E164" s="119">
        <v>0.17433963999999999</v>
      </c>
      <c r="F164" s="119">
        <v>1.53830256</v>
      </c>
      <c r="G164" s="119">
        <v>1.09241959</v>
      </c>
      <c r="H164" s="119">
        <v>0.78506425999999996</v>
      </c>
      <c r="I164" s="119">
        <v>0.38525238000000001</v>
      </c>
      <c r="J164" s="119">
        <v>0.22924991</v>
      </c>
      <c r="K164" s="119">
        <v>7.7075149999999995E-2</v>
      </c>
      <c r="L164" s="119">
        <v>3.5149359999999998E-2</v>
      </c>
      <c r="M164" s="2"/>
      <c r="N164" s="2"/>
      <c r="O164" s="2"/>
      <c r="P164" s="2"/>
      <c r="Q164" s="2"/>
      <c r="R164" s="2"/>
      <c r="S164" s="2"/>
      <c r="V164" s="77"/>
      <c r="W164" s="77"/>
      <c r="X164" s="77"/>
      <c r="Y164" s="77"/>
      <c r="Z164" s="77"/>
      <c r="AA164" s="77"/>
      <c r="AB164" s="77"/>
      <c r="AC164" s="77"/>
      <c r="AD164" s="77"/>
      <c r="AF164" s="80"/>
      <c r="AG164" s="80"/>
      <c r="AH164" s="80"/>
      <c r="AI164" s="80"/>
      <c r="AJ164" s="80"/>
      <c r="AK164" s="80"/>
      <c r="AL164" s="80"/>
      <c r="AM164" s="80"/>
      <c r="AN164" s="80"/>
      <c r="AO164" s="80"/>
    </row>
    <row r="165" spans="1:41" x14ac:dyDescent="0.35">
      <c r="A165" s="47">
        <v>9</v>
      </c>
      <c r="B165" s="118">
        <v>46276</v>
      </c>
      <c r="C165" s="119">
        <v>1</v>
      </c>
      <c r="D165" s="119">
        <v>0.58805123000000004</v>
      </c>
      <c r="E165" s="119">
        <v>0.17517240000000001</v>
      </c>
      <c r="F165" s="119">
        <v>1.54621444</v>
      </c>
      <c r="G165" s="119">
        <v>1.10051783</v>
      </c>
      <c r="H165" s="119">
        <v>0.78789295000000004</v>
      </c>
      <c r="I165" s="119">
        <v>0.38666449000000003</v>
      </c>
      <c r="J165" s="119">
        <v>0.23031113</v>
      </c>
      <c r="K165" s="119">
        <v>7.7676289999999995E-2</v>
      </c>
      <c r="L165" s="119">
        <v>3.5389839999999999E-2</v>
      </c>
      <c r="M165" s="2"/>
      <c r="N165" s="2"/>
      <c r="O165" s="2"/>
      <c r="P165" s="2"/>
      <c r="Q165" s="2"/>
      <c r="R165" s="2"/>
      <c r="S165" s="2"/>
      <c r="V165" s="77"/>
      <c r="W165" s="77"/>
      <c r="X165" s="77"/>
      <c r="Y165" s="77"/>
      <c r="Z165" s="77"/>
      <c r="AA165" s="77"/>
      <c r="AB165" s="77"/>
      <c r="AC165" s="77"/>
      <c r="AD165" s="77"/>
      <c r="AF165" s="80"/>
      <c r="AG165" s="80"/>
      <c r="AH165" s="80"/>
      <c r="AI165" s="80"/>
      <c r="AJ165" s="80"/>
      <c r="AK165" s="80"/>
      <c r="AL165" s="80"/>
      <c r="AM165" s="80"/>
      <c r="AN165" s="80"/>
      <c r="AO165" s="80"/>
    </row>
    <row r="166" spans="1:41" x14ac:dyDescent="0.35">
      <c r="A166" s="47">
        <v>9</v>
      </c>
      <c r="B166" s="118">
        <v>46277</v>
      </c>
      <c r="C166" s="119">
        <v>0</v>
      </c>
      <c r="D166" s="119">
        <v>0.61505049000000001</v>
      </c>
      <c r="E166" s="119">
        <v>0.17074308999999999</v>
      </c>
      <c r="F166" s="119">
        <v>0.65746614000000003</v>
      </c>
      <c r="G166" s="119">
        <v>0.63114024999999996</v>
      </c>
      <c r="H166" s="119">
        <v>0.4969383</v>
      </c>
      <c r="I166" s="119">
        <v>0.33061087</v>
      </c>
      <c r="J166" s="119">
        <v>0.20690323999999999</v>
      </c>
      <c r="K166" s="119">
        <v>6.0487470000000002E-2</v>
      </c>
      <c r="L166" s="119">
        <v>2.6639909999999999E-2</v>
      </c>
      <c r="M166" s="2"/>
      <c r="N166" s="2"/>
      <c r="O166" s="2"/>
      <c r="P166" s="2"/>
      <c r="Q166" s="2"/>
      <c r="R166" s="2"/>
      <c r="S166" s="2"/>
      <c r="V166" s="77"/>
      <c r="W166" s="77"/>
      <c r="X166" s="77"/>
      <c r="Y166" s="77"/>
      <c r="Z166" s="77"/>
      <c r="AA166" s="77"/>
      <c r="AB166" s="77"/>
      <c r="AC166" s="77"/>
      <c r="AD166" s="77"/>
      <c r="AF166" s="80"/>
      <c r="AG166" s="80"/>
      <c r="AH166" s="80"/>
      <c r="AI166" s="80"/>
      <c r="AJ166" s="80"/>
      <c r="AK166" s="80"/>
      <c r="AL166" s="80"/>
      <c r="AM166" s="80"/>
      <c r="AN166" s="80"/>
      <c r="AO166" s="80"/>
    </row>
    <row r="167" spans="1:41" x14ac:dyDescent="0.35">
      <c r="A167" s="47">
        <v>9</v>
      </c>
      <c r="B167" s="118">
        <v>46278</v>
      </c>
      <c r="C167" s="119">
        <v>0</v>
      </c>
      <c r="D167" s="119">
        <v>0.61688664999999998</v>
      </c>
      <c r="E167" s="119">
        <v>0.17153265000000001</v>
      </c>
      <c r="F167" s="119">
        <v>0.65826527999999995</v>
      </c>
      <c r="G167" s="119">
        <v>0.63622681999999997</v>
      </c>
      <c r="H167" s="119">
        <v>0.49832984000000002</v>
      </c>
      <c r="I167" s="119">
        <v>0.33176624999999998</v>
      </c>
      <c r="J167" s="119">
        <v>0.20793849</v>
      </c>
      <c r="K167" s="119">
        <v>6.1110009999999999E-2</v>
      </c>
      <c r="L167" s="119">
        <v>2.6905519999999999E-2</v>
      </c>
      <c r="M167" s="2"/>
      <c r="N167" s="2"/>
      <c r="O167" s="2"/>
      <c r="P167" s="2"/>
      <c r="Q167" s="2"/>
      <c r="R167" s="2"/>
      <c r="S167" s="2"/>
      <c r="V167" s="77"/>
      <c r="W167" s="77"/>
      <c r="X167" s="77"/>
      <c r="Y167" s="77"/>
      <c r="Z167" s="77"/>
      <c r="AA167" s="77"/>
      <c r="AB167" s="77"/>
      <c r="AC167" s="77"/>
      <c r="AD167" s="77"/>
      <c r="AF167" s="80"/>
      <c r="AG167" s="80"/>
      <c r="AH167" s="80"/>
      <c r="AI167" s="80"/>
      <c r="AJ167" s="80"/>
      <c r="AK167" s="80"/>
      <c r="AL167" s="80"/>
      <c r="AM167" s="80"/>
      <c r="AN167" s="80"/>
      <c r="AO167" s="80"/>
    </row>
    <row r="168" spans="1:41" x14ac:dyDescent="0.35">
      <c r="A168" s="47">
        <v>9</v>
      </c>
      <c r="B168" s="118">
        <v>46279</v>
      </c>
      <c r="C168" s="119">
        <v>1</v>
      </c>
      <c r="D168" s="119">
        <v>0.59398722000000004</v>
      </c>
      <c r="E168" s="119">
        <v>0.17785023</v>
      </c>
      <c r="F168" s="119">
        <v>1.56995007</v>
      </c>
      <c r="G168" s="119">
        <v>1.12481254</v>
      </c>
      <c r="H168" s="119">
        <v>0.79698888999999995</v>
      </c>
      <c r="I168" s="119">
        <v>0.39120526999999999</v>
      </c>
      <c r="J168" s="119">
        <v>0.23372359000000001</v>
      </c>
      <c r="K168" s="119">
        <v>7.9609299999999994E-2</v>
      </c>
      <c r="L168" s="119">
        <v>3.6163130000000002E-2</v>
      </c>
      <c r="M168" s="2"/>
      <c r="N168" s="2"/>
      <c r="O168" s="2"/>
      <c r="P168" s="2"/>
      <c r="Q168" s="2"/>
      <c r="R168" s="2"/>
      <c r="S168" s="2"/>
      <c r="V168" s="77"/>
      <c r="W168" s="77"/>
      <c r="X168" s="77"/>
      <c r="Y168" s="77"/>
      <c r="Z168" s="77"/>
      <c r="AA168" s="77"/>
      <c r="AB168" s="77"/>
      <c r="AC168" s="77"/>
      <c r="AD168" s="77"/>
      <c r="AF168" s="80"/>
      <c r="AG168" s="80"/>
      <c r="AH168" s="80"/>
      <c r="AI168" s="80"/>
      <c r="AJ168" s="80"/>
      <c r="AK168" s="80"/>
      <c r="AL168" s="80"/>
      <c r="AM168" s="80"/>
      <c r="AN168" s="80"/>
      <c r="AO168" s="80"/>
    </row>
    <row r="169" spans="1:41" x14ac:dyDescent="0.35">
      <c r="A169" s="47">
        <v>9</v>
      </c>
      <c r="B169" s="118">
        <v>46280</v>
      </c>
      <c r="C169" s="119">
        <v>1</v>
      </c>
      <c r="D169" s="119">
        <v>0.59609619000000003</v>
      </c>
      <c r="E169" s="119">
        <v>0.17880161999999999</v>
      </c>
      <c r="F169" s="119">
        <v>1.57786195</v>
      </c>
      <c r="G169" s="119">
        <v>1.13291078</v>
      </c>
      <c r="H169" s="119">
        <v>0.80022053000000004</v>
      </c>
      <c r="I169" s="119">
        <v>0.39281853</v>
      </c>
      <c r="J169" s="119">
        <v>0.23493597999999999</v>
      </c>
      <c r="K169" s="119">
        <v>8.0296069999999997E-2</v>
      </c>
      <c r="L169" s="119">
        <v>3.6437869999999997E-2</v>
      </c>
      <c r="M169" s="2"/>
      <c r="N169" s="2"/>
      <c r="O169" s="2"/>
      <c r="P169" s="2"/>
      <c r="Q169" s="2"/>
      <c r="R169" s="2"/>
      <c r="S169" s="2"/>
      <c r="V169" s="77"/>
      <c r="W169" s="77"/>
      <c r="X169" s="77"/>
      <c r="Y169" s="77"/>
      <c r="Z169" s="77"/>
      <c r="AA169" s="77"/>
      <c r="AB169" s="77"/>
      <c r="AC169" s="77"/>
      <c r="AD169" s="77"/>
      <c r="AF169" s="80"/>
      <c r="AG169" s="80"/>
      <c r="AH169" s="80"/>
      <c r="AI169" s="80"/>
      <c r="AJ169" s="80"/>
      <c r="AK169" s="80"/>
      <c r="AL169" s="80"/>
      <c r="AM169" s="80"/>
      <c r="AN169" s="80"/>
      <c r="AO169" s="80"/>
    </row>
    <row r="170" spans="1:41" x14ac:dyDescent="0.35">
      <c r="A170" s="47">
        <v>9</v>
      </c>
      <c r="B170" s="118">
        <v>46281</v>
      </c>
      <c r="C170" s="119">
        <v>1</v>
      </c>
      <c r="D170" s="119">
        <v>0.59826902000000004</v>
      </c>
      <c r="E170" s="119">
        <v>0.17978183</v>
      </c>
      <c r="F170" s="119">
        <v>1.5759003899999999</v>
      </c>
      <c r="G170" s="119">
        <v>1.1343993299999999</v>
      </c>
      <c r="H170" s="119">
        <v>0.80355003000000003</v>
      </c>
      <c r="I170" s="119">
        <v>0.39448064999999999</v>
      </c>
      <c r="J170" s="119">
        <v>0.23618508999999999</v>
      </c>
      <c r="K170" s="119">
        <v>8.1003640000000002E-2</v>
      </c>
      <c r="L170" s="119">
        <v>3.6720929999999999E-2</v>
      </c>
      <c r="M170" s="2"/>
      <c r="N170" s="2"/>
      <c r="O170" s="2"/>
      <c r="P170" s="2"/>
      <c r="Q170" s="2"/>
      <c r="R170" s="2"/>
      <c r="S170" s="2"/>
      <c r="V170" s="77"/>
      <c r="W170" s="77"/>
      <c r="X170" s="77"/>
      <c r="Y170" s="77"/>
      <c r="Z170" s="77"/>
      <c r="AA170" s="77"/>
      <c r="AB170" s="77"/>
      <c r="AC170" s="77"/>
      <c r="AD170" s="77"/>
      <c r="AF170" s="80"/>
      <c r="AG170" s="80"/>
      <c r="AH170" s="80"/>
      <c r="AI170" s="80"/>
      <c r="AJ170" s="80"/>
      <c r="AK170" s="80"/>
      <c r="AL170" s="80"/>
      <c r="AM170" s="80"/>
      <c r="AN170" s="80"/>
      <c r="AO170" s="80"/>
    </row>
    <row r="171" spans="1:41" x14ac:dyDescent="0.35">
      <c r="A171" s="47">
        <v>9</v>
      </c>
      <c r="B171" s="118">
        <v>46282</v>
      </c>
      <c r="C171" s="119">
        <v>1</v>
      </c>
      <c r="D171" s="119">
        <v>0.60050488999999996</v>
      </c>
      <c r="E171" s="119">
        <v>0.18079045999999999</v>
      </c>
      <c r="F171" s="119">
        <v>1.57393882</v>
      </c>
      <c r="G171" s="119">
        <v>1.1358878800000001</v>
      </c>
      <c r="H171" s="119">
        <v>0.80697613999999995</v>
      </c>
      <c r="I171" s="119">
        <v>0.39619100000000002</v>
      </c>
      <c r="J171" s="119">
        <v>0.23747044</v>
      </c>
      <c r="K171" s="119">
        <v>8.1731730000000002E-2</v>
      </c>
      <c r="L171" s="119">
        <v>3.701219E-2</v>
      </c>
      <c r="M171" s="2"/>
      <c r="N171" s="2"/>
      <c r="O171" s="2"/>
      <c r="P171" s="2"/>
      <c r="Q171" s="2"/>
      <c r="R171" s="2"/>
      <c r="S171" s="2"/>
      <c r="V171" s="77"/>
      <c r="W171" s="77"/>
      <c r="X171" s="77"/>
      <c r="Y171" s="77"/>
      <c r="Z171" s="77"/>
      <c r="AA171" s="77"/>
      <c r="AB171" s="77"/>
      <c r="AC171" s="77"/>
      <c r="AD171" s="77"/>
      <c r="AF171" s="80"/>
      <c r="AG171" s="80"/>
      <c r="AH171" s="80"/>
      <c r="AI171" s="80"/>
      <c r="AJ171" s="80"/>
      <c r="AK171" s="80"/>
      <c r="AL171" s="80"/>
      <c r="AM171" s="80"/>
      <c r="AN171" s="80"/>
      <c r="AO171" s="80"/>
    </row>
    <row r="172" spans="1:41" x14ac:dyDescent="0.35">
      <c r="A172" s="47">
        <v>9</v>
      </c>
      <c r="B172" s="118">
        <v>46283</v>
      </c>
      <c r="C172" s="119">
        <v>1</v>
      </c>
      <c r="D172" s="119">
        <v>0.60280292999999996</v>
      </c>
      <c r="E172" s="119">
        <v>0.18182714999999999</v>
      </c>
      <c r="F172" s="119">
        <v>1.5719772599999999</v>
      </c>
      <c r="G172" s="119">
        <v>1.13737643</v>
      </c>
      <c r="H172" s="119">
        <v>0.81049751999999997</v>
      </c>
      <c r="I172" s="119">
        <v>0.39794889999999999</v>
      </c>
      <c r="J172" s="119">
        <v>0.23879153</v>
      </c>
      <c r="K172" s="119">
        <v>8.2480079999999997E-2</v>
      </c>
      <c r="L172" s="119">
        <v>3.7311560000000001E-2</v>
      </c>
      <c r="M172" s="2"/>
      <c r="N172" s="2"/>
      <c r="O172" s="2"/>
      <c r="P172" s="2"/>
      <c r="Q172" s="2"/>
      <c r="R172" s="2"/>
      <c r="S172" s="2"/>
      <c r="V172" s="77"/>
      <c r="W172" s="77"/>
      <c r="X172" s="77"/>
      <c r="Y172" s="77"/>
      <c r="Z172" s="77"/>
      <c r="AA172" s="77"/>
      <c r="AB172" s="77"/>
      <c r="AC172" s="77"/>
      <c r="AD172" s="77"/>
      <c r="AF172" s="80"/>
      <c r="AG172" s="80"/>
      <c r="AH172" s="80"/>
      <c r="AI172" s="80"/>
      <c r="AJ172" s="80"/>
      <c r="AK172" s="80"/>
      <c r="AL172" s="80"/>
      <c r="AM172" s="80"/>
      <c r="AN172" s="80"/>
      <c r="AO172" s="80"/>
    </row>
    <row r="173" spans="1:41" x14ac:dyDescent="0.35">
      <c r="A173" s="47">
        <v>9</v>
      </c>
      <c r="B173" s="118">
        <v>46284</v>
      </c>
      <c r="C173" s="119">
        <v>0</v>
      </c>
      <c r="D173" s="119">
        <v>0.62915242000000005</v>
      </c>
      <c r="E173" s="119">
        <v>0.17680702000000001</v>
      </c>
      <c r="F173" s="119">
        <v>0.65393751</v>
      </c>
      <c r="G173" s="119">
        <v>0.65037372000000004</v>
      </c>
      <c r="H173" s="119">
        <v>0.50762552999999999</v>
      </c>
      <c r="I173" s="119">
        <v>0.33948431000000001</v>
      </c>
      <c r="J173" s="119">
        <v>0.21485408</v>
      </c>
      <c r="K173" s="119">
        <v>6.5268649999999998E-2</v>
      </c>
      <c r="L173" s="119">
        <v>2.867987E-2</v>
      </c>
      <c r="M173" s="2"/>
      <c r="N173" s="2"/>
      <c r="O173" s="2"/>
      <c r="P173" s="2"/>
      <c r="Q173" s="2"/>
      <c r="R173" s="2"/>
      <c r="S173" s="2"/>
      <c r="V173" s="77"/>
      <c r="W173" s="77"/>
      <c r="X173" s="77"/>
      <c r="Y173" s="77"/>
      <c r="Z173" s="77"/>
      <c r="AA173" s="77"/>
      <c r="AB173" s="77"/>
      <c r="AC173" s="77"/>
      <c r="AD173" s="77"/>
      <c r="AF173" s="80"/>
      <c r="AG173" s="80"/>
      <c r="AH173" s="80"/>
      <c r="AI173" s="80"/>
      <c r="AJ173" s="80"/>
      <c r="AK173" s="80"/>
      <c r="AL173" s="80"/>
      <c r="AM173" s="80"/>
      <c r="AN173" s="80"/>
      <c r="AO173" s="80"/>
    </row>
    <row r="174" spans="1:41" x14ac:dyDescent="0.35">
      <c r="A174" s="47">
        <v>9</v>
      </c>
      <c r="B174" s="118">
        <v>46285</v>
      </c>
      <c r="C174" s="119">
        <v>0</v>
      </c>
      <c r="D174" s="119">
        <v>0.63139754000000003</v>
      </c>
      <c r="E174" s="119">
        <v>0.17777244</v>
      </c>
      <c r="F174" s="119">
        <v>0.65245598999999999</v>
      </c>
      <c r="G174" s="119">
        <v>0.65136715999999995</v>
      </c>
      <c r="H174" s="119">
        <v>0.50932701000000002</v>
      </c>
      <c r="I174" s="119">
        <v>0.34089702</v>
      </c>
      <c r="J174" s="119">
        <v>0.21611991</v>
      </c>
      <c r="K174" s="119">
        <v>6.6029850000000001E-2</v>
      </c>
      <c r="L174" s="119">
        <v>2.9004640000000002E-2</v>
      </c>
      <c r="M174" s="2"/>
      <c r="N174" s="2"/>
      <c r="O174" s="2"/>
      <c r="P174" s="2"/>
      <c r="Q174" s="2"/>
      <c r="R174" s="2"/>
      <c r="S174" s="2"/>
      <c r="V174" s="77"/>
      <c r="W174" s="77"/>
      <c r="X174" s="77"/>
      <c r="Y174" s="77"/>
      <c r="Z174" s="77"/>
      <c r="AA174" s="77"/>
      <c r="AB174" s="77"/>
      <c r="AC174" s="77"/>
      <c r="AD174" s="77"/>
      <c r="AF174" s="80"/>
      <c r="AG174" s="80"/>
      <c r="AH174" s="80"/>
      <c r="AI174" s="80"/>
      <c r="AJ174" s="80"/>
      <c r="AK174" s="80"/>
      <c r="AL174" s="80"/>
      <c r="AM174" s="80"/>
      <c r="AN174" s="80"/>
      <c r="AO174" s="80"/>
    </row>
    <row r="175" spans="1:41" x14ac:dyDescent="0.35">
      <c r="A175" s="47">
        <v>9</v>
      </c>
      <c r="B175" s="118">
        <v>46286</v>
      </c>
      <c r="C175" s="119">
        <v>1</v>
      </c>
      <c r="D175" s="119">
        <v>0.61006095000000005</v>
      </c>
      <c r="E175" s="119">
        <v>0.18510136999999999</v>
      </c>
      <c r="F175" s="119">
        <v>1.5660925800000001</v>
      </c>
      <c r="G175" s="119">
        <v>1.14184208</v>
      </c>
      <c r="H175" s="119">
        <v>0.82288037999999997</v>
      </c>
      <c r="I175" s="119">
        <v>0.40350097000000001</v>
      </c>
      <c r="J175" s="119">
        <v>0.24296398999999999</v>
      </c>
      <c r="K175" s="119">
        <v>8.4843600000000005E-2</v>
      </c>
      <c r="L175" s="119">
        <v>3.8257069999999997E-2</v>
      </c>
      <c r="M175" s="2"/>
      <c r="N175" s="2"/>
      <c r="O175" s="2"/>
      <c r="P175" s="2"/>
      <c r="Q175" s="2"/>
      <c r="R175" s="2"/>
      <c r="S175" s="2"/>
      <c r="V175" s="77"/>
      <c r="W175" s="77"/>
      <c r="X175" s="77"/>
      <c r="Y175" s="77"/>
      <c r="Z175" s="77"/>
      <c r="AA175" s="77"/>
      <c r="AB175" s="77"/>
      <c r="AC175" s="77"/>
      <c r="AD175" s="77"/>
      <c r="AF175" s="80"/>
      <c r="AG175" s="80"/>
      <c r="AH175" s="80"/>
      <c r="AI175" s="80"/>
      <c r="AJ175" s="80"/>
      <c r="AK175" s="80"/>
      <c r="AL175" s="80"/>
      <c r="AM175" s="80"/>
      <c r="AN175" s="80"/>
      <c r="AO175" s="80"/>
    </row>
    <row r="176" spans="1:41" x14ac:dyDescent="0.35">
      <c r="A176" s="47">
        <v>9</v>
      </c>
      <c r="B176" s="118">
        <v>46287</v>
      </c>
      <c r="C176" s="119">
        <v>1</v>
      </c>
      <c r="D176" s="119">
        <v>0.61259834999999996</v>
      </c>
      <c r="E176" s="119">
        <v>0.18624603000000001</v>
      </c>
      <c r="F176" s="119">
        <v>1.56413102</v>
      </c>
      <c r="G176" s="119">
        <v>1.1433306299999999</v>
      </c>
      <c r="H176" s="119">
        <v>0.82760394000000004</v>
      </c>
      <c r="I176" s="119">
        <v>0.40544195999999999</v>
      </c>
      <c r="J176" s="119">
        <v>0.24442267000000001</v>
      </c>
      <c r="K176" s="119">
        <v>8.5669880000000004E-2</v>
      </c>
      <c r="L176" s="119">
        <v>3.8587620000000003E-2</v>
      </c>
      <c r="M176" s="2"/>
      <c r="N176" s="2"/>
      <c r="O176" s="2"/>
      <c r="P176" s="2"/>
      <c r="Q176" s="2"/>
      <c r="R176" s="2"/>
      <c r="S176" s="2"/>
      <c r="V176" s="77"/>
      <c r="W176" s="77"/>
      <c r="X176" s="77"/>
      <c r="Y176" s="77"/>
      <c r="Z176" s="77"/>
      <c r="AA176" s="77"/>
      <c r="AB176" s="77"/>
      <c r="AC176" s="77"/>
      <c r="AD176" s="77"/>
      <c r="AF176" s="80"/>
      <c r="AG176" s="80"/>
      <c r="AH176" s="80"/>
      <c r="AI176" s="80"/>
      <c r="AJ176" s="80"/>
      <c r="AK176" s="80"/>
      <c r="AL176" s="80"/>
      <c r="AM176" s="80"/>
      <c r="AN176" s="80"/>
      <c r="AO176" s="80"/>
    </row>
    <row r="177" spans="1:41" x14ac:dyDescent="0.35">
      <c r="A177" s="47">
        <v>9</v>
      </c>
      <c r="B177" s="118">
        <v>46288</v>
      </c>
      <c r="C177" s="119">
        <v>1</v>
      </c>
      <c r="D177" s="119">
        <v>0.61519307000000001</v>
      </c>
      <c r="E177" s="119">
        <v>0.18741656000000001</v>
      </c>
      <c r="F177" s="119">
        <v>1.56216946</v>
      </c>
      <c r="G177" s="119">
        <v>1.14481918</v>
      </c>
      <c r="H177" s="119">
        <v>0.83248495</v>
      </c>
      <c r="I177" s="119">
        <v>0.40742680999999997</v>
      </c>
      <c r="J177" s="119">
        <v>0.24591431999999999</v>
      </c>
      <c r="K177" s="119">
        <v>8.6514830000000001E-2</v>
      </c>
      <c r="L177" s="119">
        <v>3.8925639999999997E-2</v>
      </c>
      <c r="M177" s="2"/>
      <c r="N177" s="2"/>
      <c r="O177" s="2"/>
      <c r="P177" s="2"/>
      <c r="Q177" s="2"/>
      <c r="R177" s="2"/>
      <c r="S177" s="2"/>
      <c r="V177" s="77"/>
      <c r="W177" s="77"/>
      <c r="X177" s="77"/>
      <c r="Y177" s="77"/>
      <c r="Z177" s="77"/>
      <c r="AA177" s="77"/>
      <c r="AB177" s="77"/>
      <c r="AC177" s="77"/>
      <c r="AD177" s="77"/>
      <c r="AF177" s="80"/>
      <c r="AG177" s="80"/>
      <c r="AH177" s="80"/>
      <c r="AI177" s="80"/>
      <c r="AJ177" s="80"/>
      <c r="AK177" s="80"/>
      <c r="AL177" s="80"/>
      <c r="AM177" s="80"/>
      <c r="AN177" s="80"/>
      <c r="AO177" s="80"/>
    </row>
    <row r="178" spans="1:41" x14ac:dyDescent="0.35">
      <c r="A178" s="47">
        <v>9</v>
      </c>
      <c r="B178" s="118">
        <v>46289</v>
      </c>
      <c r="C178" s="119">
        <v>1</v>
      </c>
      <c r="D178" s="119">
        <v>0.61784404999999998</v>
      </c>
      <c r="E178" s="119">
        <v>0.18861246000000001</v>
      </c>
      <c r="F178" s="119">
        <v>1.5602079</v>
      </c>
      <c r="G178" s="119">
        <v>1.14630773</v>
      </c>
      <c r="H178" s="119">
        <v>0.83738254999999995</v>
      </c>
      <c r="I178" s="119">
        <v>0.4094547</v>
      </c>
      <c r="J178" s="119">
        <v>0.2474383</v>
      </c>
      <c r="K178" s="119">
        <v>8.7378109999999995E-2</v>
      </c>
      <c r="L178" s="119">
        <v>3.9270979999999997E-2</v>
      </c>
      <c r="M178" s="2"/>
      <c r="N178" s="2"/>
      <c r="O178" s="2"/>
      <c r="P178" s="2"/>
      <c r="Q178" s="2"/>
      <c r="R178" s="2"/>
      <c r="S178" s="2"/>
      <c r="V178" s="77"/>
      <c r="W178" s="77"/>
      <c r="X178" s="77"/>
      <c r="Y178" s="77"/>
      <c r="Z178" s="77"/>
      <c r="AA178" s="77"/>
      <c r="AB178" s="77"/>
      <c r="AC178" s="77"/>
      <c r="AD178" s="77"/>
      <c r="AF178" s="80"/>
      <c r="AG178" s="80"/>
      <c r="AH178" s="80"/>
      <c r="AI178" s="80"/>
      <c r="AJ178" s="80"/>
      <c r="AK178" s="80"/>
      <c r="AL178" s="80"/>
      <c r="AM178" s="80"/>
      <c r="AN178" s="80"/>
      <c r="AO178" s="80"/>
    </row>
    <row r="179" spans="1:41" x14ac:dyDescent="0.35">
      <c r="A179" s="47">
        <v>9</v>
      </c>
      <c r="B179" s="118">
        <v>46290</v>
      </c>
      <c r="C179" s="119">
        <v>1</v>
      </c>
      <c r="D179" s="119">
        <v>0.62055017999999995</v>
      </c>
      <c r="E179" s="119">
        <v>0.18983323999999999</v>
      </c>
      <c r="F179" s="119">
        <v>1.55824634</v>
      </c>
      <c r="G179" s="119">
        <v>1.1477962799999999</v>
      </c>
      <c r="H179" s="119">
        <v>0.84243429000000003</v>
      </c>
      <c r="I179" s="119">
        <v>0.42269677</v>
      </c>
      <c r="J179" s="119">
        <v>0.24899399</v>
      </c>
      <c r="K179" s="119">
        <v>8.8259340000000006E-2</v>
      </c>
      <c r="L179" s="119">
        <v>3.9623520000000002E-2</v>
      </c>
      <c r="M179" s="2"/>
      <c r="N179" s="2"/>
      <c r="O179" s="2"/>
      <c r="P179" s="2"/>
      <c r="Q179" s="2"/>
      <c r="R179" s="2"/>
      <c r="S179" s="2"/>
      <c r="V179" s="77"/>
      <c r="W179" s="77"/>
      <c r="X179" s="77"/>
      <c r="Y179" s="77"/>
      <c r="Z179" s="77"/>
      <c r="AA179" s="77"/>
      <c r="AB179" s="77"/>
      <c r="AC179" s="77"/>
      <c r="AD179" s="77"/>
      <c r="AF179" s="80"/>
      <c r="AG179" s="80"/>
      <c r="AH179" s="80"/>
      <c r="AI179" s="80"/>
      <c r="AJ179" s="80"/>
      <c r="AK179" s="80"/>
      <c r="AL179" s="80"/>
      <c r="AM179" s="80"/>
      <c r="AN179" s="80"/>
      <c r="AO179" s="80"/>
    </row>
    <row r="180" spans="1:41" x14ac:dyDescent="0.35">
      <c r="A180" s="47">
        <v>9</v>
      </c>
      <c r="B180" s="118">
        <v>46291</v>
      </c>
      <c r="C180" s="119">
        <v>0</v>
      </c>
      <c r="D180" s="119">
        <v>0.64599139999999999</v>
      </c>
      <c r="E180" s="119">
        <v>0.18404792</v>
      </c>
      <c r="F180" s="119">
        <v>0.64356690999999999</v>
      </c>
      <c r="G180" s="119">
        <v>0.65732778000000003</v>
      </c>
      <c r="H180" s="119">
        <v>0.52038706000000001</v>
      </c>
      <c r="I180" s="119">
        <v>0.37318407999999997</v>
      </c>
      <c r="J180" s="119">
        <v>0.22434812000000001</v>
      </c>
      <c r="K180" s="119">
        <v>7.0977819999999997E-2</v>
      </c>
      <c r="L180" s="119">
        <v>3.1115759999999999E-2</v>
      </c>
      <c r="M180" s="2"/>
      <c r="N180" s="2"/>
      <c r="O180" s="2"/>
      <c r="P180" s="2"/>
      <c r="Q180" s="2"/>
      <c r="R180" s="2"/>
      <c r="S180" s="2"/>
      <c r="V180" s="77"/>
      <c r="W180" s="77"/>
      <c r="X180" s="77"/>
      <c r="Y180" s="77"/>
      <c r="Z180" s="77"/>
      <c r="AA180" s="77"/>
      <c r="AB180" s="77"/>
      <c r="AC180" s="77"/>
      <c r="AD180" s="77"/>
      <c r="AF180" s="80"/>
      <c r="AG180" s="80"/>
      <c r="AH180" s="80"/>
      <c r="AI180" s="80"/>
      <c r="AJ180" s="80"/>
      <c r="AK180" s="80"/>
      <c r="AL180" s="80"/>
      <c r="AM180" s="80"/>
      <c r="AN180" s="80"/>
      <c r="AO180" s="80"/>
    </row>
    <row r="181" spans="1:41" x14ac:dyDescent="0.35">
      <c r="A181" s="47">
        <v>9</v>
      </c>
      <c r="B181" s="118">
        <v>46292</v>
      </c>
      <c r="C181" s="119">
        <v>0</v>
      </c>
      <c r="D181" s="119">
        <v>0.64860150999999999</v>
      </c>
      <c r="E181" s="119">
        <v>0.18517027999999999</v>
      </c>
      <c r="F181" s="119">
        <v>0.64208540000000003</v>
      </c>
      <c r="G181" s="119">
        <v>0.65832120999999999</v>
      </c>
      <c r="H181" s="119">
        <v>0.52236514999999994</v>
      </c>
      <c r="I181" s="119">
        <v>0.38776829000000002</v>
      </c>
      <c r="J181" s="119">
        <v>0.22581973</v>
      </c>
      <c r="K181" s="119">
        <v>7.1862759999999998E-2</v>
      </c>
      <c r="L181" s="119">
        <v>3.1493340000000002E-2</v>
      </c>
      <c r="M181" s="2"/>
      <c r="N181" s="2"/>
      <c r="O181" s="2"/>
      <c r="P181" s="2"/>
      <c r="Q181" s="2"/>
      <c r="R181" s="2"/>
      <c r="S181" s="2"/>
      <c r="V181" s="77"/>
      <c r="W181" s="77"/>
      <c r="X181" s="77"/>
      <c r="Y181" s="77"/>
      <c r="Z181" s="77"/>
      <c r="AA181" s="77"/>
      <c r="AB181" s="77"/>
      <c r="AC181" s="77"/>
      <c r="AD181" s="77"/>
      <c r="AF181" s="80"/>
      <c r="AG181" s="80"/>
      <c r="AH181" s="80"/>
      <c r="AI181" s="80"/>
      <c r="AJ181" s="80"/>
      <c r="AK181" s="80"/>
      <c r="AL181" s="80"/>
      <c r="AM181" s="80"/>
      <c r="AN181" s="80"/>
      <c r="AO181" s="80"/>
    </row>
    <row r="182" spans="1:41" x14ac:dyDescent="0.35">
      <c r="A182" s="47">
        <v>9</v>
      </c>
      <c r="B182" s="118">
        <v>46293</v>
      </c>
      <c r="C182" s="119">
        <v>1</v>
      </c>
      <c r="D182" s="119">
        <v>0.62898809</v>
      </c>
      <c r="E182" s="119">
        <v>0.23732882</v>
      </c>
      <c r="F182" s="119">
        <v>1.5523616499999999</v>
      </c>
      <c r="G182" s="119">
        <v>1.1522619300000001</v>
      </c>
      <c r="H182" s="119">
        <v>0.85800947999999999</v>
      </c>
      <c r="I182" s="119">
        <v>0.46937092000000002</v>
      </c>
      <c r="J182" s="119">
        <v>0.30483881000000002</v>
      </c>
      <c r="K182" s="119">
        <v>0.15101624</v>
      </c>
      <c r="L182" s="119">
        <v>4.0722729999999999E-2</v>
      </c>
      <c r="M182" s="2"/>
      <c r="N182" s="2"/>
      <c r="O182" s="2"/>
      <c r="P182" s="2"/>
      <c r="Q182" s="2"/>
      <c r="R182" s="2"/>
      <c r="S182" s="2"/>
      <c r="V182" s="77"/>
      <c r="W182" s="77"/>
      <c r="X182" s="77"/>
      <c r="Y182" s="77"/>
      <c r="Z182" s="77"/>
      <c r="AA182" s="77"/>
      <c r="AB182" s="77"/>
      <c r="AC182" s="77"/>
      <c r="AD182" s="77"/>
      <c r="AF182" s="80"/>
      <c r="AG182" s="80"/>
      <c r="AH182" s="80"/>
      <c r="AI182" s="80"/>
      <c r="AJ182" s="80"/>
      <c r="AK182" s="80"/>
      <c r="AL182" s="80"/>
      <c r="AM182" s="80"/>
      <c r="AN182" s="80"/>
      <c r="AO182" s="80"/>
    </row>
    <row r="183" spans="1:41" x14ac:dyDescent="0.35">
      <c r="A183" s="47">
        <v>9</v>
      </c>
      <c r="B183" s="118">
        <v>46294</v>
      </c>
      <c r="C183" s="119">
        <v>1</v>
      </c>
      <c r="D183" s="119">
        <v>0.63190327999999996</v>
      </c>
      <c r="E183" s="119">
        <v>0.25860118999999998</v>
      </c>
      <c r="F183" s="119">
        <v>1.5504000899999999</v>
      </c>
      <c r="G183" s="119">
        <v>1.15375048</v>
      </c>
      <c r="H183" s="119">
        <v>0.86331192999999995</v>
      </c>
      <c r="I183" s="119">
        <v>0.48430181</v>
      </c>
      <c r="J183" s="119">
        <v>0.32455128</v>
      </c>
      <c r="K183" s="119">
        <v>0.17593753000000001</v>
      </c>
      <c r="L183" s="119">
        <v>4.11025E-2</v>
      </c>
      <c r="M183" s="2"/>
      <c r="N183" s="2"/>
      <c r="O183" s="2"/>
      <c r="P183" s="2"/>
      <c r="Q183" s="2"/>
      <c r="R183" s="2"/>
      <c r="S183" s="2"/>
      <c r="V183" s="77"/>
      <c r="W183" s="77"/>
      <c r="X183" s="77"/>
      <c r="Y183" s="77"/>
      <c r="Z183" s="77"/>
      <c r="AA183" s="77"/>
      <c r="AB183" s="77"/>
      <c r="AC183" s="77"/>
      <c r="AD183" s="77"/>
      <c r="AF183" s="80"/>
      <c r="AG183" s="80"/>
      <c r="AH183" s="80"/>
      <c r="AI183" s="80"/>
      <c r="AJ183" s="80"/>
      <c r="AK183" s="80"/>
      <c r="AL183" s="80"/>
      <c r="AM183" s="80"/>
      <c r="AN183" s="80"/>
      <c r="AO183" s="80"/>
    </row>
    <row r="184" spans="1:41" x14ac:dyDescent="0.35">
      <c r="A184" s="47">
        <v>9</v>
      </c>
      <c r="B184" s="118">
        <v>46295</v>
      </c>
      <c r="C184" s="119">
        <v>1</v>
      </c>
      <c r="D184" s="119">
        <v>0.63486770000000003</v>
      </c>
      <c r="E184" s="119">
        <v>0.28155887000000002</v>
      </c>
      <c r="F184" s="119">
        <v>1.5484385300000001</v>
      </c>
      <c r="G184" s="119">
        <v>1.1552390299999999</v>
      </c>
      <c r="H184" s="119">
        <v>0.86875946000000004</v>
      </c>
      <c r="I184" s="119">
        <v>0.50032876999999998</v>
      </c>
      <c r="J184" s="119">
        <v>0.34579510000000002</v>
      </c>
      <c r="K184" s="119">
        <v>0.20287253</v>
      </c>
      <c r="L184" s="119">
        <v>5.3966020000000003E-2</v>
      </c>
      <c r="M184" s="2"/>
      <c r="N184" s="2"/>
      <c r="O184" s="2"/>
      <c r="P184" s="2"/>
      <c r="Q184" s="2"/>
      <c r="R184" s="2"/>
      <c r="S184" s="2"/>
      <c r="V184" s="77"/>
      <c r="W184" s="77"/>
      <c r="X184" s="77"/>
      <c r="Y184" s="77"/>
      <c r="Z184" s="77"/>
      <c r="AA184" s="77"/>
      <c r="AB184" s="77"/>
      <c r="AC184" s="77"/>
      <c r="AD184" s="77"/>
      <c r="AF184" s="80"/>
      <c r="AG184" s="80"/>
      <c r="AH184" s="80"/>
      <c r="AI184" s="80"/>
      <c r="AJ184" s="80"/>
      <c r="AK184" s="80"/>
      <c r="AL184" s="80"/>
      <c r="AM184" s="80"/>
      <c r="AN184" s="80"/>
      <c r="AO184" s="80"/>
    </row>
    <row r="185" spans="1:41" x14ac:dyDescent="0.35">
      <c r="A185" s="47">
        <v>10</v>
      </c>
      <c r="B185" s="118">
        <v>46296</v>
      </c>
      <c r="C185" s="119">
        <v>1</v>
      </c>
      <c r="D185" s="119">
        <v>0.63788009999999995</v>
      </c>
      <c r="E185" s="119">
        <v>0.30620131</v>
      </c>
      <c r="F185" s="119">
        <v>1.5464769700000001</v>
      </c>
      <c r="G185" s="119">
        <v>1.1567275800000001</v>
      </c>
      <c r="H185" s="119">
        <v>0.87435010999999996</v>
      </c>
      <c r="I185" s="119">
        <v>0.51745083999999997</v>
      </c>
      <c r="J185" s="119">
        <v>0.36856955000000002</v>
      </c>
      <c r="K185" s="119">
        <v>0.23182080999999999</v>
      </c>
      <c r="L185" s="119">
        <v>8.7082679999999996E-2</v>
      </c>
      <c r="M185" s="2"/>
      <c r="N185" s="2"/>
      <c r="O185" s="2"/>
      <c r="P185" s="2"/>
      <c r="Q185" s="2"/>
      <c r="R185" s="2"/>
      <c r="S185" s="2"/>
      <c r="V185" s="77"/>
      <c r="W185" s="77"/>
      <c r="X185" s="77"/>
      <c r="Y185" s="77"/>
      <c r="Z185" s="77"/>
      <c r="AA185" s="77"/>
      <c r="AB185" s="77"/>
      <c r="AC185" s="77"/>
      <c r="AD185" s="77"/>
      <c r="AF185" s="80"/>
      <c r="AG185" s="80"/>
      <c r="AH185" s="80"/>
      <c r="AI185" s="80"/>
      <c r="AJ185" s="80"/>
      <c r="AK185" s="80"/>
      <c r="AL185" s="80"/>
      <c r="AM185" s="80"/>
      <c r="AN185" s="80"/>
      <c r="AO185" s="80"/>
    </row>
    <row r="186" spans="1:41" x14ac:dyDescent="0.35">
      <c r="A186" s="47">
        <v>10</v>
      </c>
      <c r="B186" s="118">
        <v>46297</v>
      </c>
      <c r="C186" s="119">
        <v>1</v>
      </c>
      <c r="D186" s="119">
        <v>0.64093920000000004</v>
      </c>
      <c r="E186" s="119">
        <v>0.33086481000000001</v>
      </c>
      <c r="F186" s="119">
        <v>1.54451541</v>
      </c>
      <c r="G186" s="119">
        <v>1.15821613</v>
      </c>
      <c r="H186" s="119">
        <v>0.88001231999999996</v>
      </c>
      <c r="I186" s="119">
        <v>0.53460863000000003</v>
      </c>
      <c r="J186" s="119">
        <v>0.39137084999999999</v>
      </c>
      <c r="K186" s="119">
        <v>0.26078430000000002</v>
      </c>
      <c r="L186" s="119">
        <v>0.12020541999999999</v>
      </c>
      <c r="M186" s="2"/>
      <c r="N186" s="2"/>
      <c r="O186" s="2"/>
      <c r="P186" s="2"/>
      <c r="Q186" s="2"/>
      <c r="R186" s="2"/>
      <c r="S186" s="2"/>
      <c r="V186" s="77"/>
      <c r="W186" s="77"/>
      <c r="X186" s="77"/>
      <c r="Y186" s="77"/>
      <c r="Z186" s="77"/>
      <c r="AA186" s="77"/>
      <c r="AB186" s="77"/>
      <c r="AC186" s="77"/>
      <c r="AD186" s="77"/>
      <c r="AF186" s="80"/>
      <c r="AG186" s="80"/>
      <c r="AH186" s="80"/>
      <c r="AI186" s="80"/>
      <c r="AJ186" s="80"/>
      <c r="AK186" s="80"/>
      <c r="AL186" s="80"/>
      <c r="AM186" s="80"/>
      <c r="AN186" s="80"/>
      <c r="AO186" s="80"/>
    </row>
    <row r="187" spans="1:41" x14ac:dyDescent="0.35">
      <c r="A187" s="47">
        <v>10</v>
      </c>
      <c r="B187" s="118">
        <v>46298</v>
      </c>
      <c r="C187" s="119">
        <v>0</v>
      </c>
      <c r="D187" s="119">
        <v>0.66522914</v>
      </c>
      <c r="E187" s="119">
        <v>0.31783835999999999</v>
      </c>
      <c r="F187" s="119">
        <v>0.63319632000000003</v>
      </c>
      <c r="G187" s="119">
        <v>0.66428182999999996</v>
      </c>
      <c r="H187" s="119">
        <v>0.54390428000000002</v>
      </c>
      <c r="I187" s="119">
        <v>0.48343142</v>
      </c>
      <c r="J187" s="119">
        <v>0.34224376000000001</v>
      </c>
      <c r="K187" s="119">
        <v>0.19314392</v>
      </c>
      <c r="L187" s="119">
        <v>7.4383729999999995E-2</v>
      </c>
      <c r="M187" s="2"/>
      <c r="N187" s="2"/>
      <c r="O187" s="2"/>
      <c r="P187" s="2"/>
      <c r="Q187" s="2"/>
      <c r="R187" s="2"/>
      <c r="S187" s="2"/>
      <c r="V187" s="77"/>
      <c r="W187" s="77"/>
      <c r="X187" s="77"/>
      <c r="Y187" s="77"/>
      <c r="Z187" s="77"/>
      <c r="AA187" s="77"/>
      <c r="AB187" s="77"/>
      <c r="AC187" s="77"/>
      <c r="AD187" s="77"/>
      <c r="AF187" s="80"/>
      <c r="AG187" s="80"/>
      <c r="AH187" s="80"/>
      <c r="AI187" s="80"/>
      <c r="AJ187" s="80"/>
      <c r="AK187" s="80"/>
      <c r="AL187" s="80"/>
      <c r="AM187" s="80"/>
      <c r="AN187" s="80"/>
      <c r="AO187" s="80"/>
    </row>
    <row r="188" spans="1:41" x14ac:dyDescent="0.35">
      <c r="A188" s="47">
        <v>10</v>
      </c>
      <c r="B188" s="118">
        <v>46299</v>
      </c>
      <c r="C188" s="119">
        <v>0</v>
      </c>
      <c r="D188" s="119">
        <v>0.66815057</v>
      </c>
      <c r="E188" s="119">
        <v>0.34257841</v>
      </c>
      <c r="F188" s="119">
        <v>0.63171480000000002</v>
      </c>
      <c r="G188" s="119">
        <v>0.66527526999999997</v>
      </c>
      <c r="H188" s="119">
        <v>0.54927219999999999</v>
      </c>
      <c r="I188" s="119">
        <v>0.50036849999999999</v>
      </c>
      <c r="J188" s="119">
        <v>0.3644039</v>
      </c>
      <c r="K188" s="119">
        <v>0.21976902000000001</v>
      </c>
      <c r="L188" s="119">
        <v>0.10481904</v>
      </c>
      <c r="M188" s="2"/>
      <c r="N188" s="2"/>
      <c r="O188" s="2"/>
      <c r="P188" s="2"/>
      <c r="Q188" s="2"/>
      <c r="R188" s="2"/>
      <c r="S188" s="2"/>
      <c r="V188" s="77"/>
      <c r="W188" s="77"/>
      <c r="X188" s="77"/>
      <c r="Y188" s="77"/>
      <c r="Z188" s="77"/>
      <c r="AA188" s="77"/>
      <c r="AB188" s="77"/>
      <c r="AC188" s="77"/>
      <c r="AD188" s="77"/>
      <c r="AF188" s="80"/>
      <c r="AG188" s="80"/>
      <c r="AH188" s="80"/>
      <c r="AI188" s="80"/>
      <c r="AJ188" s="80"/>
      <c r="AK188" s="80"/>
      <c r="AL188" s="80"/>
      <c r="AM188" s="80"/>
      <c r="AN188" s="80"/>
      <c r="AO188" s="80"/>
    </row>
    <row r="189" spans="1:41" x14ac:dyDescent="0.35">
      <c r="A189" s="47">
        <v>10</v>
      </c>
      <c r="B189" s="118">
        <v>46300</v>
      </c>
      <c r="C189" s="119">
        <v>1</v>
      </c>
      <c r="D189" s="119">
        <v>0.65038351999999999</v>
      </c>
      <c r="E189" s="119">
        <v>0.40331266999999998</v>
      </c>
      <c r="F189" s="119">
        <v>1.53863072</v>
      </c>
      <c r="G189" s="119">
        <v>1.1626817899999999</v>
      </c>
      <c r="H189" s="119">
        <v>0.89733852000000003</v>
      </c>
      <c r="I189" s="119">
        <v>0.58522786999999998</v>
      </c>
      <c r="J189" s="119">
        <v>0.45842519999999998</v>
      </c>
      <c r="K189" s="119">
        <v>0.34576406999999998</v>
      </c>
      <c r="L189" s="119">
        <v>0.21727099</v>
      </c>
      <c r="M189" s="2"/>
      <c r="N189" s="2"/>
      <c r="O189" s="2"/>
      <c r="P189" s="2"/>
      <c r="Q189" s="2"/>
      <c r="R189" s="2"/>
      <c r="S189" s="2"/>
      <c r="V189" s="77"/>
      <c r="W189" s="77"/>
      <c r="X189" s="77"/>
      <c r="Y189" s="77"/>
      <c r="Z189" s="77"/>
      <c r="AA189" s="77"/>
      <c r="AB189" s="77"/>
      <c r="AC189" s="77"/>
      <c r="AD189" s="77"/>
      <c r="AF189" s="80"/>
      <c r="AG189" s="80"/>
      <c r="AH189" s="80"/>
      <c r="AI189" s="80"/>
      <c r="AJ189" s="80"/>
      <c r="AK189" s="80"/>
      <c r="AL189" s="80"/>
      <c r="AM189" s="80"/>
      <c r="AN189" s="80"/>
      <c r="AO189" s="80"/>
    </row>
    <row r="190" spans="1:41" x14ac:dyDescent="0.35">
      <c r="A190" s="47">
        <v>10</v>
      </c>
      <c r="B190" s="118">
        <v>46301</v>
      </c>
      <c r="C190" s="119">
        <v>1</v>
      </c>
      <c r="D190" s="119">
        <v>0.65361617999999999</v>
      </c>
      <c r="E190" s="119">
        <v>0.42639136</v>
      </c>
      <c r="F190" s="119">
        <v>1.53666916</v>
      </c>
      <c r="G190" s="119">
        <v>1.1641703400000001</v>
      </c>
      <c r="H190" s="119">
        <v>0.90319707000000005</v>
      </c>
      <c r="I190" s="119">
        <v>0.60146001999999998</v>
      </c>
      <c r="J190" s="119">
        <v>0.47982322999999999</v>
      </c>
      <c r="K190" s="119">
        <v>0.37278641000000001</v>
      </c>
      <c r="L190" s="119">
        <v>0.24807889999999999</v>
      </c>
      <c r="M190" s="2"/>
      <c r="N190" s="2"/>
      <c r="O190" s="2"/>
      <c r="P190" s="2"/>
      <c r="Q190" s="2"/>
      <c r="R190" s="2"/>
      <c r="S190" s="2"/>
      <c r="V190" s="77"/>
      <c r="W190" s="77"/>
      <c r="X190" s="77"/>
      <c r="Y190" s="77"/>
      <c r="Z190" s="77"/>
      <c r="AA190" s="77"/>
      <c r="AB190" s="77"/>
      <c r="AC190" s="77"/>
      <c r="AD190" s="77"/>
      <c r="AF190" s="80"/>
      <c r="AG190" s="80"/>
      <c r="AH190" s="80"/>
      <c r="AI190" s="80"/>
      <c r="AJ190" s="80"/>
      <c r="AK190" s="80"/>
      <c r="AL190" s="80"/>
      <c r="AM190" s="80"/>
      <c r="AN190" s="80"/>
      <c r="AO190" s="80"/>
    </row>
    <row r="191" spans="1:41" x14ac:dyDescent="0.35">
      <c r="A191" s="47">
        <v>10</v>
      </c>
      <c r="B191" s="118">
        <v>46302</v>
      </c>
      <c r="C191" s="119">
        <v>1</v>
      </c>
      <c r="D191" s="119">
        <v>0.65732994</v>
      </c>
      <c r="E191" s="119">
        <v>0.45115121000000002</v>
      </c>
      <c r="F191" s="119">
        <v>1.5347075999999999</v>
      </c>
      <c r="G191" s="119">
        <v>1.16565889</v>
      </c>
      <c r="H191" s="119">
        <v>0.90918653999999999</v>
      </c>
      <c r="I191" s="119">
        <v>0.61878118000000004</v>
      </c>
      <c r="J191" s="119">
        <v>0.50274730000000001</v>
      </c>
      <c r="K191" s="119">
        <v>0.40181945000000002</v>
      </c>
      <c r="L191" s="119">
        <v>0.28122945999999999</v>
      </c>
      <c r="M191" s="2"/>
      <c r="N191" s="2"/>
      <c r="O191" s="2"/>
      <c r="P191" s="2"/>
      <c r="Q191" s="2"/>
      <c r="R191" s="2"/>
      <c r="S191" s="2"/>
      <c r="V191" s="77"/>
      <c r="W191" s="77"/>
      <c r="X191" s="77"/>
      <c r="Y191" s="77"/>
      <c r="Z191" s="77"/>
      <c r="AA191" s="77"/>
      <c r="AB191" s="77"/>
      <c r="AC191" s="77"/>
      <c r="AD191" s="77"/>
      <c r="AF191" s="80"/>
      <c r="AG191" s="80"/>
      <c r="AH191" s="80"/>
      <c r="AI191" s="80"/>
      <c r="AJ191" s="80"/>
      <c r="AK191" s="80"/>
      <c r="AL191" s="80"/>
      <c r="AM191" s="80"/>
      <c r="AN191" s="80"/>
      <c r="AO191" s="80"/>
    </row>
    <row r="192" spans="1:41" x14ac:dyDescent="0.35">
      <c r="A192" s="47">
        <v>10</v>
      </c>
      <c r="B192" s="118">
        <v>46303</v>
      </c>
      <c r="C192" s="119">
        <v>1</v>
      </c>
      <c r="D192" s="119">
        <v>0.66843839000000005</v>
      </c>
      <c r="E192" s="119">
        <v>0.47592846999999999</v>
      </c>
      <c r="F192" s="119">
        <v>1.5327460399999999</v>
      </c>
      <c r="G192" s="119">
        <v>1.1671474399999999</v>
      </c>
      <c r="H192" s="119">
        <v>0.91523518000000004</v>
      </c>
      <c r="I192" s="119">
        <v>0.63613189000000003</v>
      </c>
      <c r="J192" s="119">
        <v>0.52569357000000005</v>
      </c>
      <c r="K192" s="119">
        <v>0.43086506000000002</v>
      </c>
      <c r="L192" s="119">
        <v>0.31438505999999999</v>
      </c>
      <c r="M192" s="2"/>
      <c r="N192" s="2"/>
      <c r="O192" s="2"/>
      <c r="P192" s="2"/>
      <c r="Q192" s="2"/>
      <c r="R192" s="2"/>
      <c r="S192" s="2"/>
      <c r="V192" s="77"/>
      <c r="W192" s="77"/>
      <c r="X192" s="77"/>
      <c r="Y192" s="77"/>
      <c r="Z192" s="77"/>
      <c r="AA192" s="77"/>
      <c r="AB192" s="77"/>
      <c r="AC192" s="77"/>
      <c r="AD192" s="77"/>
      <c r="AF192" s="80"/>
      <c r="AG192" s="80"/>
      <c r="AH192" s="80"/>
      <c r="AI192" s="80"/>
      <c r="AJ192" s="80"/>
      <c r="AK192" s="80"/>
      <c r="AL192" s="80"/>
      <c r="AM192" s="80"/>
      <c r="AN192" s="80"/>
      <c r="AO192" s="80"/>
    </row>
    <row r="193" spans="1:41" x14ac:dyDescent="0.35">
      <c r="A193" s="47">
        <v>10</v>
      </c>
      <c r="B193" s="118">
        <v>46304</v>
      </c>
      <c r="C193" s="119">
        <v>1</v>
      </c>
      <c r="D193" s="119">
        <v>0.68014098999999995</v>
      </c>
      <c r="E193" s="119">
        <v>0.50238563999999997</v>
      </c>
      <c r="F193" s="119">
        <v>1.5307844799999999</v>
      </c>
      <c r="G193" s="119">
        <v>1.1686359900000001</v>
      </c>
      <c r="H193" s="119">
        <v>0.92141048000000003</v>
      </c>
      <c r="I193" s="119">
        <v>0.65456946999999999</v>
      </c>
      <c r="J193" s="119">
        <v>0.55016429</v>
      </c>
      <c r="K193" s="119">
        <v>0.46192045999999998</v>
      </c>
      <c r="L193" s="119">
        <v>0.34988293999999998</v>
      </c>
      <c r="M193" s="2"/>
      <c r="N193" s="2"/>
      <c r="O193" s="2"/>
      <c r="P193" s="2"/>
      <c r="Q193" s="2"/>
      <c r="R193" s="2"/>
      <c r="S193" s="2"/>
      <c r="V193" s="77"/>
      <c r="W193" s="77"/>
      <c r="X193" s="77"/>
      <c r="Y193" s="77"/>
      <c r="Z193" s="77"/>
      <c r="AA193" s="77"/>
      <c r="AB193" s="77"/>
      <c r="AC193" s="77"/>
      <c r="AD193" s="77"/>
      <c r="AF193" s="80"/>
      <c r="AG193" s="80"/>
      <c r="AH193" s="80"/>
      <c r="AI193" s="80"/>
      <c r="AJ193" s="80"/>
      <c r="AK193" s="80"/>
      <c r="AL193" s="80"/>
      <c r="AM193" s="80"/>
      <c r="AN193" s="80"/>
      <c r="AO193" s="80"/>
    </row>
    <row r="194" spans="1:41" x14ac:dyDescent="0.35">
      <c r="A194" s="47">
        <v>10</v>
      </c>
      <c r="B194" s="118">
        <v>46305</v>
      </c>
      <c r="C194" s="119">
        <v>0</v>
      </c>
      <c r="D194" s="119">
        <v>0.72809299000000005</v>
      </c>
      <c r="E194" s="119">
        <v>0.49135760000000001</v>
      </c>
      <c r="F194" s="119">
        <v>0.62282572000000003</v>
      </c>
      <c r="G194" s="119">
        <v>0.67123588999999995</v>
      </c>
      <c r="H194" s="119">
        <v>0.58207699000000002</v>
      </c>
      <c r="I194" s="119">
        <v>0.60248690000000005</v>
      </c>
      <c r="J194" s="119">
        <v>0.49780911</v>
      </c>
      <c r="K194" s="119">
        <v>0.37978683000000002</v>
      </c>
      <c r="L194" s="119">
        <v>0.28754492999999998</v>
      </c>
      <c r="M194" s="2"/>
      <c r="N194" s="2"/>
      <c r="O194" s="2"/>
      <c r="P194" s="2"/>
      <c r="Q194" s="2"/>
      <c r="R194" s="2"/>
      <c r="S194" s="2"/>
      <c r="V194" s="77"/>
      <c r="W194" s="77"/>
      <c r="X194" s="77"/>
      <c r="Y194" s="77"/>
      <c r="Z194" s="77"/>
      <c r="AA194" s="77"/>
      <c r="AB194" s="77"/>
      <c r="AC194" s="77"/>
      <c r="AD194" s="77"/>
      <c r="AF194" s="80"/>
      <c r="AG194" s="80"/>
      <c r="AH194" s="80"/>
      <c r="AI194" s="80"/>
      <c r="AJ194" s="80"/>
      <c r="AK194" s="80"/>
      <c r="AL194" s="80"/>
      <c r="AM194" s="80"/>
      <c r="AN194" s="80"/>
      <c r="AO194" s="80"/>
    </row>
    <row r="195" spans="1:41" x14ac:dyDescent="0.35">
      <c r="A195" s="47">
        <v>10</v>
      </c>
      <c r="B195" s="118">
        <v>46306</v>
      </c>
      <c r="C195" s="119">
        <v>0</v>
      </c>
      <c r="D195" s="119">
        <v>0.74113304999999996</v>
      </c>
      <c r="E195" s="119">
        <v>0.51788285000000001</v>
      </c>
      <c r="F195" s="119">
        <v>0.62134420999999995</v>
      </c>
      <c r="G195" s="119">
        <v>0.67222932999999996</v>
      </c>
      <c r="H195" s="119">
        <v>0.58786015999999996</v>
      </c>
      <c r="I195" s="119">
        <v>0.6206602</v>
      </c>
      <c r="J195" s="119">
        <v>0.52157580000000003</v>
      </c>
      <c r="K195" s="119">
        <v>0.40832795999999999</v>
      </c>
      <c r="L195" s="119">
        <v>0.32016027000000002</v>
      </c>
      <c r="M195" s="2"/>
      <c r="N195" s="2"/>
      <c r="O195" s="2"/>
      <c r="P195" s="2"/>
      <c r="Q195" s="2"/>
      <c r="R195" s="2"/>
      <c r="S195" s="2"/>
      <c r="V195" s="77"/>
      <c r="W195" s="77"/>
      <c r="X195" s="77"/>
      <c r="Y195" s="77"/>
      <c r="Z195" s="77"/>
      <c r="AA195" s="77"/>
      <c r="AB195" s="77"/>
      <c r="AC195" s="77"/>
      <c r="AD195" s="77"/>
      <c r="AF195" s="80"/>
      <c r="AG195" s="80"/>
      <c r="AH195" s="80"/>
      <c r="AI195" s="80"/>
      <c r="AJ195" s="80"/>
      <c r="AK195" s="80"/>
      <c r="AL195" s="80"/>
      <c r="AM195" s="80"/>
      <c r="AN195" s="80"/>
      <c r="AO195" s="80"/>
    </row>
    <row r="196" spans="1:41" x14ac:dyDescent="0.35">
      <c r="A196" s="47">
        <v>10</v>
      </c>
      <c r="B196" s="118">
        <v>46307</v>
      </c>
      <c r="C196" s="119">
        <v>1</v>
      </c>
      <c r="D196" s="119">
        <v>0.71434412999999997</v>
      </c>
      <c r="E196" s="119">
        <v>0.57852528999999997</v>
      </c>
      <c r="F196" s="119">
        <v>1.5248997900000001</v>
      </c>
      <c r="G196" s="119">
        <v>1.1731016400000001</v>
      </c>
      <c r="H196" s="119">
        <v>0.94011769999999995</v>
      </c>
      <c r="I196" s="119">
        <v>0.70792544000000002</v>
      </c>
      <c r="J196" s="119">
        <v>0.62069061999999997</v>
      </c>
      <c r="K196" s="119">
        <v>0.55115946000000005</v>
      </c>
      <c r="L196" s="119">
        <v>0.45172897000000001</v>
      </c>
      <c r="M196" s="2"/>
      <c r="N196" s="2"/>
      <c r="O196" s="2"/>
      <c r="P196" s="2"/>
      <c r="Q196" s="2"/>
      <c r="R196" s="2"/>
      <c r="S196" s="2"/>
      <c r="V196" s="77"/>
      <c r="W196" s="77"/>
      <c r="X196" s="77"/>
      <c r="Y196" s="77"/>
      <c r="Z196" s="77"/>
      <c r="AA196" s="77"/>
      <c r="AB196" s="77"/>
      <c r="AC196" s="77"/>
      <c r="AD196" s="77"/>
      <c r="AF196" s="80"/>
      <c r="AG196" s="80"/>
      <c r="AH196" s="80"/>
      <c r="AI196" s="80"/>
      <c r="AJ196" s="80"/>
      <c r="AK196" s="80"/>
      <c r="AL196" s="80"/>
      <c r="AM196" s="80"/>
      <c r="AN196" s="80"/>
      <c r="AO196" s="80"/>
    </row>
    <row r="197" spans="1:41" x14ac:dyDescent="0.35">
      <c r="A197" s="47">
        <v>10</v>
      </c>
      <c r="B197" s="118">
        <v>46308</v>
      </c>
      <c r="C197" s="119">
        <v>1</v>
      </c>
      <c r="D197" s="119">
        <v>0.72562450999999994</v>
      </c>
      <c r="E197" s="119">
        <v>0.60338011999999996</v>
      </c>
      <c r="F197" s="119">
        <v>1.5229382300000001</v>
      </c>
      <c r="G197" s="119">
        <v>1.17459019</v>
      </c>
      <c r="H197" s="119">
        <v>0.94642981999999998</v>
      </c>
      <c r="I197" s="119">
        <v>0.72540766999999995</v>
      </c>
      <c r="J197" s="119">
        <v>0.64373574</v>
      </c>
      <c r="K197" s="119">
        <v>0.58026107000000005</v>
      </c>
      <c r="L197" s="119">
        <v>0.48490696999999999</v>
      </c>
      <c r="M197" s="2"/>
      <c r="N197" s="2"/>
      <c r="O197" s="2"/>
      <c r="P197" s="2"/>
      <c r="Q197" s="2"/>
      <c r="R197" s="2"/>
      <c r="S197" s="2"/>
      <c r="V197" s="77"/>
      <c r="W197" s="77"/>
      <c r="X197" s="77"/>
      <c r="Y197" s="77"/>
      <c r="Z197" s="77"/>
      <c r="AA197" s="77"/>
      <c r="AB197" s="77"/>
      <c r="AC197" s="77"/>
      <c r="AD197" s="77"/>
      <c r="AF197" s="80"/>
      <c r="AG197" s="80"/>
      <c r="AH197" s="80"/>
      <c r="AI197" s="80"/>
      <c r="AJ197" s="80"/>
      <c r="AK197" s="80"/>
      <c r="AL197" s="80"/>
      <c r="AM197" s="80"/>
      <c r="AN197" s="80"/>
      <c r="AO197" s="80"/>
    </row>
    <row r="198" spans="1:41" x14ac:dyDescent="0.35">
      <c r="A198" s="47">
        <v>10</v>
      </c>
      <c r="B198" s="118">
        <v>46309</v>
      </c>
      <c r="C198" s="119">
        <v>1</v>
      </c>
      <c r="D198" s="119">
        <v>0.73804888000000002</v>
      </c>
      <c r="E198" s="119">
        <v>0.63157474999999996</v>
      </c>
      <c r="F198" s="119">
        <v>1.52097667</v>
      </c>
      <c r="G198" s="119">
        <v>1.1760787399999999</v>
      </c>
      <c r="H198" s="119">
        <v>0.95292730999999997</v>
      </c>
      <c r="I198" s="119">
        <v>0.74502975000000005</v>
      </c>
      <c r="J198" s="119">
        <v>0.66980426000000004</v>
      </c>
      <c r="K198" s="119">
        <v>0.61336780000000002</v>
      </c>
      <c r="L198" s="119">
        <v>0.52276376999999996</v>
      </c>
      <c r="M198" s="2"/>
      <c r="N198" s="2"/>
      <c r="O198" s="2"/>
      <c r="P198" s="2"/>
      <c r="Q198" s="2"/>
      <c r="R198" s="2"/>
      <c r="S198" s="2"/>
      <c r="V198" s="77"/>
      <c r="W198" s="77"/>
      <c r="X198" s="77"/>
      <c r="Y198" s="77"/>
      <c r="Z198" s="77"/>
      <c r="AA198" s="77"/>
      <c r="AB198" s="77"/>
      <c r="AC198" s="77"/>
      <c r="AD198" s="77"/>
      <c r="AF198" s="80"/>
      <c r="AG198" s="80"/>
      <c r="AH198" s="80"/>
      <c r="AI198" s="80"/>
      <c r="AJ198" s="80"/>
      <c r="AK198" s="80"/>
      <c r="AL198" s="80"/>
      <c r="AM198" s="80"/>
      <c r="AN198" s="80"/>
      <c r="AO198" s="80"/>
    </row>
    <row r="199" spans="1:41" x14ac:dyDescent="0.35">
      <c r="A199" s="47">
        <v>10</v>
      </c>
      <c r="B199" s="118">
        <v>46310</v>
      </c>
      <c r="C199" s="119">
        <v>1</v>
      </c>
      <c r="D199" s="119">
        <v>0.74994497999999998</v>
      </c>
      <c r="E199" s="119">
        <v>0.65811920000000002</v>
      </c>
      <c r="F199" s="119">
        <v>1.51901511</v>
      </c>
      <c r="G199" s="119">
        <v>1.17756729</v>
      </c>
      <c r="H199" s="119">
        <v>0.95939909000000001</v>
      </c>
      <c r="I199" s="119">
        <v>0.76361533999999998</v>
      </c>
      <c r="J199" s="119">
        <v>0.69438622000000005</v>
      </c>
      <c r="K199" s="119">
        <v>0.64448620999999995</v>
      </c>
      <c r="L199" s="119">
        <v>0.55828686000000005</v>
      </c>
      <c r="M199" s="2"/>
      <c r="N199" s="2"/>
      <c r="O199" s="2"/>
      <c r="P199" s="2"/>
      <c r="Q199" s="2"/>
      <c r="R199" s="2"/>
      <c r="S199" s="2"/>
      <c r="V199" s="77"/>
      <c r="W199" s="77"/>
      <c r="X199" s="77"/>
      <c r="Y199" s="77"/>
      <c r="Z199" s="77"/>
      <c r="AA199" s="77"/>
      <c r="AB199" s="77"/>
      <c r="AC199" s="77"/>
      <c r="AD199" s="77"/>
      <c r="AF199" s="80"/>
      <c r="AG199" s="80"/>
      <c r="AH199" s="80"/>
      <c r="AI199" s="80"/>
      <c r="AJ199" s="80"/>
      <c r="AK199" s="80"/>
      <c r="AL199" s="80"/>
      <c r="AM199" s="80"/>
      <c r="AN199" s="80"/>
      <c r="AO199" s="80"/>
    </row>
    <row r="200" spans="1:41" x14ac:dyDescent="0.35">
      <c r="A200" s="47">
        <v>10</v>
      </c>
      <c r="B200" s="118">
        <v>46311</v>
      </c>
      <c r="C200" s="119">
        <v>1</v>
      </c>
      <c r="D200" s="119">
        <v>0.76131135999999999</v>
      </c>
      <c r="E200" s="119">
        <v>0.68301281999999996</v>
      </c>
      <c r="F200" s="119">
        <v>1.5130154099999999</v>
      </c>
      <c r="G200" s="119">
        <v>1.1799167399999999</v>
      </c>
      <c r="H200" s="119">
        <v>0.96584298000000002</v>
      </c>
      <c r="I200" s="119">
        <v>0.78116335000000003</v>
      </c>
      <c r="J200" s="119">
        <v>0.71748076999999999</v>
      </c>
      <c r="K200" s="119">
        <v>0.67361581999999998</v>
      </c>
      <c r="L200" s="119">
        <v>0.59147605999999997</v>
      </c>
      <c r="M200" s="2"/>
      <c r="N200" s="2"/>
      <c r="O200" s="2"/>
      <c r="P200" s="2"/>
      <c r="Q200" s="2"/>
      <c r="R200" s="2"/>
      <c r="S200" s="2"/>
      <c r="V200" s="77"/>
      <c r="W200" s="77"/>
      <c r="X200" s="77"/>
      <c r="Y200" s="77"/>
      <c r="Z200" s="77"/>
      <c r="AA200" s="77"/>
      <c r="AB200" s="77"/>
      <c r="AC200" s="77"/>
      <c r="AD200" s="77"/>
      <c r="AF200" s="80"/>
      <c r="AG200" s="80"/>
      <c r="AH200" s="80"/>
      <c r="AI200" s="80"/>
      <c r="AJ200" s="80"/>
      <c r="AK200" s="80"/>
      <c r="AL200" s="80"/>
      <c r="AM200" s="80"/>
      <c r="AN200" s="80"/>
      <c r="AO200" s="80"/>
    </row>
    <row r="201" spans="1:41" x14ac:dyDescent="0.35">
      <c r="A201" s="47">
        <v>10</v>
      </c>
      <c r="B201" s="118">
        <v>46312</v>
      </c>
      <c r="C201" s="119">
        <v>0</v>
      </c>
      <c r="D201" s="119">
        <v>0.81931136999999998</v>
      </c>
      <c r="E201" s="119">
        <v>0.67561318000000004</v>
      </c>
      <c r="F201" s="119">
        <v>0.60761854999999998</v>
      </c>
      <c r="G201" s="119">
        <v>0.68053264999999996</v>
      </c>
      <c r="H201" s="119">
        <v>0.62278546000000001</v>
      </c>
      <c r="I201" s="119">
        <v>0.72899643999999997</v>
      </c>
      <c r="J201" s="119">
        <v>0.66304666000000001</v>
      </c>
      <c r="K201" s="119">
        <v>0.57794573000000005</v>
      </c>
      <c r="L201" s="119">
        <v>0.51379472999999998</v>
      </c>
      <c r="M201" s="2"/>
      <c r="N201" s="2"/>
      <c r="O201" s="2"/>
      <c r="P201" s="2"/>
      <c r="Q201" s="2"/>
      <c r="R201" s="2"/>
      <c r="S201" s="2"/>
      <c r="V201" s="77"/>
      <c r="W201" s="77"/>
      <c r="X201" s="77"/>
      <c r="Y201" s="77"/>
      <c r="Z201" s="77"/>
      <c r="AA201" s="77"/>
      <c r="AB201" s="77"/>
      <c r="AC201" s="77"/>
      <c r="AD201" s="77"/>
      <c r="AF201" s="80"/>
      <c r="AG201" s="80"/>
      <c r="AH201" s="80"/>
      <c r="AI201" s="80"/>
      <c r="AJ201" s="80"/>
      <c r="AK201" s="80"/>
      <c r="AL201" s="80"/>
      <c r="AM201" s="80"/>
      <c r="AN201" s="80"/>
      <c r="AO201" s="80"/>
    </row>
    <row r="202" spans="1:41" x14ac:dyDescent="0.35">
      <c r="A202" s="47">
        <v>10</v>
      </c>
      <c r="B202" s="118">
        <v>46313</v>
      </c>
      <c r="C202" s="119">
        <v>0</v>
      </c>
      <c r="D202" s="119">
        <v>0.83253758</v>
      </c>
      <c r="E202" s="119">
        <v>0.70221847000000004</v>
      </c>
      <c r="F202" s="119">
        <v>0.60371874999999997</v>
      </c>
      <c r="G202" s="119">
        <v>0.68269743000000005</v>
      </c>
      <c r="H202" s="119">
        <v>0.62870970999999998</v>
      </c>
      <c r="I202" s="119">
        <v>0.74728687000000005</v>
      </c>
      <c r="J202" s="119">
        <v>0.68691831000000003</v>
      </c>
      <c r="K202" s="119">
        <v>0.60654998000000004</v>
      </c>
      <c r="L202" s="119">
        <v>0.54643699999999995</v>
      </c>
      <c r="M202" s="2"/>
      <c r="N202" s="2"/>
      <c r="O202" s="2"/>
      <c r="P202" s="2"/>
      <c r="Q202" s="2"/>
      <c r="R202" s="2"/>
      <c r="S202" s="2"/>
      <c r="V202" s="77"/>
      <c r="W202" s="77"/>
      <c r="X202" s="77"/>
      <c r="Y202" s="77"/>
      <c r="Z202" s="77"/>
      <c r="AA202" s="77"/>
      <c r="AB202" s="77"/>
      <c r="AC202" s="77"/>
      <c r="AD202" s="77"/>
      <c r="AF202" s="80"/>
      <c r="AG202" s="80"/>
      <c r="AH202" s="80"/>
      <c r="AI202" s="80"/>
      <c r="AJ202" s="80"/>
      <c r="AK202" s="80"/>
      <c r="AL202" s="80"/>
      <c r="AM202" s="80"/>
      <c r="AN202" s="80"/>
      <c r="AO202" s="80"/>
    </row>
    <row r="203" spans="1:41" x14ac:dyDescent="0.35">
      <c r="A203" s="47">
        <v>10</v>
      </c>
      <c r="B203" s="118">
        <v>46314</v>
      </c>
      <c r="C203" s="119">
        <v>1</v>
      </c>
      <c r="D203" s="119">
        <v>0.79778716000000005</v>
      </c>
      <c r="E203" s="119">
        <v>0.76441329999999996</v>
      </c>
      <c r="F203" s="119">
        <v>1.49501632</v>
      </c>
      <c r="G203" s="119">
        <v>1.18696508</v>
      </c>
      <c r="H203" s="119">
        <v>0.98568127999999999</v>
      </c>
      <c r="I203" s="119">
        <v>0.83815492999999996</v>
      </c>
      <c r="J203" s="119">
        <v>0.79286223</v>
      </c>
      <c r="K203" s="119">
        <v>0.76904380000000006</v>
      </c>
      <c r="L203" s="119">
        <v>0.70041282000000005</v>
      </c>
      <c r="M203" s="2"/>
      <c r="N203" s="2"/>
      <c r="O203" s="2"/>
      <c r="P203" s="2"/>
      <c r="Q203" s="2"/>
      <c r="R203" s="2"/>
      <c r="S203" s="2"/>
      <c r="V203" s="77"/>
      <c r="W203" s="77"/>
      <c r="X203" s="77"/>
      <c r="Y203" s="77"/>
      <c r="Z203" s="77"/>
      <c r="AA203" s="77"/>
      <c r="AB203" s="77"/>
      <c r="AC203" s="77"/>
      <c r="AD203" s="77"/>
      <c r="AF203" s="80"/>
      <c r="AG203" s="80"/>
      <c r="AH203" s="80"/>
      <c r="AI203" s="80"/>
      <c r="AJ203" s="80"/>
      <c r="AK203" s="80"/>
      <c r="AL203" s="80"/>
      <c r="AM203" s="80"/>
      <c r="AN203" s="80"/>
      <c r="AO203" s="80"/>
    </row>
    <row r="204" spans="1:41" x14ac:dyDescent="0.35">
      <c r="A204" s="47">
        <v>10</v>
      </c>
      <c r="B204" s="118">
        <v>46315</v>
      </c>
      <c r="C204" s="119">
        <v>1</v>
      </c>
      <c r="D204" s="119">
        <v>0.80980494999999997</v>
      </c>
      <c r="E204" s="119">
        <v>0.79101264999999998</v>
      </c>
      <c r="F204" s="119">
        <v>1.4890166300000001</v>
      </c>
      <c r="G204" s="119">
        <v>1.1893145300000001</v>
      </c>
      <c r="H204" s="119">
        <v>0.99233954999999996</v>
      </c>
      <c r="I204" s="119">
        <v>0.85683361999999996</v>
      </c>
      <c r="J204" s="119">
        <v>0.81751415000000005</v>
      </c>
      <c r="K204" s="119">
        <v>0.80020184000000005</v>
      </c>
      <c r="L204" s="119">
        <v>0.73595177000000001</v>
      </c>
      <c r="M204" s="2"/>
      <c r="N204" s="2"/>
      <c r="O204" s="2"/>
      <c r="P204" s="2"/>
      <c r="Q204" s="2"/>
      <c r="R204" s="2"/>
      <c r="S204" s="2"/>
      <c r="V204" s="77"/>
      <c r="W204" s="77"/>
      <c r="X204" s="77"/>
      <c r="Y204" s="77"/>
      <c r="Z204" s="77"/>
      <c r="AA204" s="77"/>
      <c r="AB204" s="77"/>
      <c r="AC204" s="77"/>
      <c r="AD204" s="77"/>
      <c r="AF204" s="80"/>
      <c r="AG204" s="80"/>
      <c r="AH204" s="80"/>
      <c r="AI204" s="80"/>
      <c r="AJ204" s="80"/>
      <c r="AK204" s="80"/>
      <c r="AL204" s="80"/>
      <c r="AM204" s="80"/>
      <c r="AN204" s="80"/>
      <c r="AO204" s="80"/>
    </row>
    <row r="205" spans="1:41" x14ac:dyDescent="0.35">
      <c r="A205" s="47">
        <v>10</v>
      </c>
      <c r="B205" s="118">
        <v>46316</v>
      </c>
      <c r="C205" s="119">
        <v>1</v>
      </c>
      <c r="D205" s="119">
        <v>0.82239971000000001</v>
      </c>
      <c r="E205" s="119">
        <v>0.81928414000000005</v>
      </c>
      <c r="F205" s="119">
        <v>1.48301693</v>
      </c>
      <c r="G205" s="119">
        <v>1.19166398</v>
      </c>
      <c r="H205" s="119">
        <v>0.99909813000000003</v>
      </c>
      <c r="I205" s="119">
        <v>0.87658603999999996</v>
      </c>
      <c r="J205" s="119">
        <v>0.84368061999999999</v>
      </c>
      <c r="K205" s="119">
        <v>0.83336405999999996</v>
      </c>
      <c r="L205" s="119">
        <v>0.77383078000000005</v>
      </c>
      <c r="M205" s="2"/>
      <c r="N205" s="2"/>
      <c r="O205" s="2"/>
      <c r="P205" s="2"/>
      <c r="Q205" s="2"/>
      <c r="R205" s="2"/>
      <c r="S205" s="2"/>
      <c r="V205" s="77"/>
      <c r="W205" s="77"/>
      <c r="X205" s="77"/>
      <c r="Y205" s="77"/>
      <c r="Z205" s="77"/>
      <c r="AA205" s="77"/>
      <c r="AB205" s="77"/>
      <c r="AC205" s="77"/>
      <c r="AD205" s="77"/>
      <c r="AF205" s="80"/>
      <c r="AG205" s="80"/>
      <c r="AH205" s="80"/>
      <c r="AI205" s="80"/>
      <c r="AJ205" s="80"/>
      <c r="AK205" s="80"/>
      <c r="AL205" s="80"/>
      <c r="AM205" s="80"/>
      <c r="AN205" s="80"/>
      <c r="AO205" s="80"/>
    </row>
    <row r="206" spans="1:41" x14ac:dyDescent="0.35">
      <c r="A206" s="47">
        <v>10</v>
      </c>
      <c r="B206" s="118">
        <v>46317</v>
      </c>
      <c r="C206" s="119">
        <v>1</v>
      </c>
      <c r="D206" s="119">
        <v>0.83389919999999995</v>
      </c>
      <c r="E206" s="119">
        <v>0.84423780999999998</v>
      </c>
      <c r="F206" s="119">
        <v>1.47701723</v>
      </c>
      <c r="G206" s="119">
        <v>1.19401343</v>
      </c>
      <c r="H206" s="119">
        <v>1.0057459799999999</v>
      </c>
      <c r="I206" s="119">
        <v>0.89423587000000004</v>
      </c>
      <c r="J206" s="119">
        <v>0.8668517</v>
      </c>
      <c r="K206" s="119">
        <v>0.86253701999999999</v>
      </c>
      <c r="L206" s="119">
        <v>0.80703731000000001</v>
      </c>
      <c r="M206" s="2"/>
      <c r="N206" s="2"/>
      <c r="O206" s="2"/>
      <c r="P206" s="2"/>
      <c r="Q206" s="2"/>
      <c r="R206" s="2"/>
      <c r="S206" s="2"/>
      <c r="V206" s="77"/>
      <c r="W206" s="77"/>
      <c r="X206" s="77"/>
      <c r="Y206" s="77"/>
      <c r="Z206" s="77"/>
      <c r="AA206" s="77"/>
      <c r="AB206" s="77"/>
      <c r="AC206" s="77"/>
      <c r="AD206" s="77"/>
      <c r="AF206" s="80"/>
      <c r="AG206" s="80"/>
      <c r="AH206" s="80"/>
      <c r="AI206" s="80"/>
      <c r="AJ206" s="80"/>
      <c r="AK206" s="80"/>
      <c r="AL206" s="80"/>
      <c r="AM206" s="80"/>
      <c r="AN206" s="80"/>
      <c r="AO206" s="80"/>
    </row>
    <row r="207" spans="1:41" x14ac:dyDescent="0.35">
      <c r="A207" s="47">
        <v>10</v>
      </c>
      <c r="B207" s="118">
        <v>46318</v>
      </c>
      <c r="C207" s="119">
        <v>1</v>
      </c>
      <c r="D207" s="119">
        <v>0.84652974000000003</v>
      </c>
      <c r="E207" s="119">
        <v>0.87252545000000004</v>
      </c>
      <c r="F207" s="119">
        <v>1.4710175400000001</v>
      </c>
      <c r="G207" s="119">
        <v>1.1963628799999999</v>
      </c>
      <c r="H207" s="119">
        <v>1.0125594</v>
      </c>
      <c r="I207" s="119">
        <v>0.91401566000000001</v>
      </c>
      <c r="J207" s="119">
        <v>0.89303874999999999</v>
      </c>
      <c r="K207" s="119">
        <v>0.89571089999999998</v>
      </c>
      <c r="L207" s="119">
        <v>0.84492096999999999</v>
      </c>
      <c r="M207" s="2"/>
      <c r="N207" s="2"/>
      <c r="O207" s="2"/>
      <c r="P207" s="2"/>
      <c r="Q207" s="2"/>
      <c r="R207" s="2"/>
      <c r="S207" s="2"/>
      <c r="V207" s="77"/>
      <c r="W207" s="77"/>
      <c r="X207" s="77"/>
      <c r="Y207" s="77"/>
      <c r="Z207" s="77"/>
      <c r="AA207" s="77"/>
      <c r="AB207" s="77"/>
      <c r="AC207" s="77"/>
      <c r="AD207" s="77"/>
      <c r="AF207" s="80"/>
      <c r="AG207" s="80"/>
      <c r="AH207" s="80"/>
      <c r="AI207" s="80"/>
      <c r="AJ207" s="80"/>
      <c r="AK207" s="80"/>
      <c r="AL207" s="80"/>
      <c r="AM207" s="80"/>
      <c r="AN207" s="80"/>
      <c r="AO207" s="80"/>
    </row>
    <row r="208" spans="1:41" x14ac:dyDescent="0.35">
      <c r="A208" s="47">
        <v>10</v>
      </c>
      <c r="B208" s="118">
        <v>46319</v>
      </c>
      <c r="C208" s="119">
        <v>0</v>
      </c>
      <c r="D208" s="119">
        <v>0.91295236999999996</v>
      </c>
      <c r="E208" s="119">
        <v>0.86369954999999998</v>
      </c>
      <c r="F208" s="119">
        <v>0.58031993999999998</v>
      </c>
      <c r="G208" s="119">
        <v>0.69568615</v>
      </c>
      <c r="H208" s="119">
        <v>0.66478335</v>
      </c>
      <c r="I208" s="119">
        <v>0.85835943000000003</v>
      </c>
      <c r="J208" s="119">
        <v>0.83183872000000003</v>
      </c>
      <c r="K208" s="119">
        <v>0.780142</v>
      </c>
      <c r="L208" s="119">
        <v>0.74449217999999995</v>
      </c>
      <c r="M208" s="2"/>
      <c r="N208" s="2"/>
      <c r="O208" s="2"/>
      <c r="P208" s="2"/>
      <c r="Q208" s="2"/>
      <c r="R208" s="2"/>
      <c r="S208" s="2"/>
      <c r="V208" s="77"/>
      <c r="W208" s="77"/>
      <c r="X208" s="77"/>
      <c r="Y208" s="77"/>
      <c r="Z208" s="77"/>
      <c r="AA208" s="77"/>
      <c r="AB208" s="77"/>
      <c r="AC208" s="77"/>
      <c r="AD208" s="77"/>
      <c r="AF208" s="80"/>
      <c r="AG208" s="80"/>
      <c r="AH208" s="80"/>
      <c r="AI208" s="80"/>
      <c r="AJ208" s="80"/>
      <c r="AK208" s="80"/>
      <c r="AL208" s="80"/>
      <c r="AM208" s="80"/>
      <c r="AN208" s="80"/>
      <c r="AO208" s="80"/>
    </row>
    <row r="209" spans="1:41" x14ac:dyDescent="0.35">
      <c r="A209" s="47">
        <v>10</v>
      </c>
      <c r="B209" s="118">
        <v>46320</v>
      </c>
      <c r="C209" s="119">
        <v>0</v>
      </c>
      <c r="D209" s="119">
        <v>0.92629949</v>
      </c>
      <c r="E209" s="119">
        <v>0.89035684000000004</v>
      </c>
      <c r="F209" s="119">
        <v>0.57642013999999997</v>
      </c>
      <c r="G209" s="119">
        <v>0.69785092999999998</v>
      </c>
      <c r="H209" s="119">
        <v>0.67079922999999997</v>
      </c>
      <c r="I209" s="119">
        <v>0.87672594000000004</v>
      </c>
      <c r="J209" s="119">
        <v>0.85577853000000004</v>
      </c>
      <c r="K209" s="119">
        <v>0.80878724999999996</v>
      </c>
      <c r="L209" s="119">
        <v>0.77715193999999999</v>
      </c>
      <c r="M209" s="2"/>
      <c r="N209" s="2"/>
      <c r="O209" s="2"/>
      <c r="P209" s="2"/>
      <c r="Q209" s="2"/>
      <c r="R209" s="2"/>
      <c r="S209" s="2"/>
      <c r="V209" s="77"/>
      <c r="W209" s="77"/>
      <c r="X209" s="77"/>
      <c r="Y209" s="77"/>
      <c r="Z209" s="77"/>
      <c r="AA209" s="77"/>
      <c r="AB209" s="77"/>
      <c r="AC209" s="77"/>
      <c r="AD209" s="77"/>
      <c r="AF209" s="80"/>
      <c r="AG209" s="80"/>
      <c r="AH209" s="80"/>
      <c r="AI209" s="80"/>
      <c r="AJ209" s="80"/>
      <c r="AK209" s="80"/>
      <c r="AL209" s="80"/>
      <c r="AM209" s="80"/>
      <c r="AN209" s="80"/>
      <c r="AO209" s="80"/>
    </row>
    <row r="210" spans="1:41" x14ac:dyDescent="0.35">
      <c r="A210" s="47">
        <v>10</v>
      </c>
      <c r="B210" s="118">
        <v>46321</v>
      </c>
      <c r="C210" s="119">
        <v>1</v>
      </c>
      <c r="D210" s="119">
        <v>0.88339654999999995</v>
      </c>
      <c r="E210" s="119">
        <v>0.95410231000000001</v>
      </c>
      <c r="F210" s="119">
        <v>1.4530184399999999</v>
      </c>
      <c r="G210" s="119">
        <v>1.20341122</v>
      </c>
      <c r="H210" s="119">
        <v>1.0329968599999999</v>
      </c>
      <c r="I210" s="119">
        <v>0.97130634000000005</v>
      </c>
      <c r="J210" s="119">
        <v>0.96864499000000004</v>
      </c>
      <c r="K210" s="119">
        <v>0.99126619999999999</v>
      </c>
      <c r="L210" s="119">
        <v>0.95390867999999995</v>
      </c>
      <c r="M210" s="2"/>
      <c r="N210" s="2"/>
      <c r="O210" s="2"/>
      <c r="P210" s="2"/>
      <c r="Q210" s="2"/>
      <c r="R210" s="2"/>
      <c r="S210" s="2"/>
      <c r="V210" s="77"/>
      <c r="W210" s="77"/>
      <c r="X210" s="77"/>
      <c r="Y210" s="77"/>
      <c r="Z210" s="77"/>
      <c r="AA210" s="77"/>
      <c r="AB210" s="77"/>
      <c r="AC210" s="77"/>
      <c r="AD210" s="77"/>
      <c r="AF210" s="80"/>
      <c r="AG210" s="80"/>
      <c r="AH210" s="80"/>
      <c r="AI210" s="80"/>
      <c r="AJ210" s="80"/>
      <c r="AK210" s="80"/>
      <c r="AL210" s="80"/>
      <c r="AM210" s="80"/>
      <c r="AN210" s="80"/>
      <c r="AO210" s="80"/>
    </row>
    <row r="211" spans="1:41" x14ac:dyDescent="0.35">
      <c r="A211" s="47">
        <v>10</v>
      </c>
      <c r="B211" s="118">
        <v>46322</v>
      </c>
      <c r="C211" s="119">
        <v>1</v>
      </c>
      <c r="D211" s="119">
        <v>0.89608182000000003</v>
      </c>
      <c r="E211" s="119">
        <v>0.98241464000000001</v>
      </c>
      <c r="F211" s="119">
        <v>1.44701875</v>
      </c>
      <c r="G211" s="119">
        <v>1.2057606700000001</v>
      </c>
      <c r="H211" s="119">
        <v>1.03989413</v>
      </c>
      <c r="I211" s="119">
        <v>0.99112800000000001</v>
      </c>
      <c r="J211" s="119">
        <v>0.99486350000000001</v>
      </c>
      <c r="K211" s="119">
        <v>1.0244579</v>
      </c>
      <c r="L211" s="119">
        <v>0.99179947000000002</v>
      </c>
      <c r="M211" s="2"/>
      <c r="N211" s="2"/>
      <c r="O211" s="2"/>
      <c r="P211" s="2"/>
      <c r="Q211" s="2"/>
      <c r="R211" s="2"/>
      <c r="S211" s="2"/>
      <c r="V211" s="77"/>
      <c r="W211" s="77"/>
      <c r="X211" s="77"/>
      <c r="Y211" s="77"/>
      <c r="Z211" s="77"/>
      <c r="AA211" s="77"/>
      <c r="AB211" s="77"/>
      <c r="AC211" s="77"/>
      <c r="AD211" s="77"/>
      <c r="AF211" s="80"/>
      <c r="AG211" s="80"/>
      <c r="AH211" s="80"/>
      <c r="AI211" s="80"/>
      <c r="AJ211" s="80"/>
      <c r="AK211" s="80"/>
      <c r="AL211" s="80"/>
      <c r="AM211" s="80"/>
      <c r="AN211" s="80"/>
      <c r="AO211" s="80"/>
    </row>
    <row r="212" spans="1:41" x14ac:dyDescent="0.35">
      <c r="A212" s="47">
        <v>10</v>
      </c>
      <c r="B212" s="118">
        <v>46323</v>
      </c>
      <c r="C212" s="119">
        <v>1</v>
      </c>
      <c r="D212" s="119">
        <v>0.90822038999999999</v>
      </c>
      <c r="E212" s="119">
        <v>1.0090684700000001</v>
      </c>
      <c r="F212" s="119">
        <v>1.44101905</v>
      </c>
      <c r="G212" s="119">
        <v>1.20811012</v>
      </c>
      <c r="H212" s="119">
        <v>1.0467374700000001</v>
      </c>
      <c r="I212" s="119">
        <v>1.0098990800000001</v>
      </c>
      <c r="J212" s="119">
        <v>1.01958485</v>
      </c>
      <c r="K212" s="119">
        <v>1.0556552699999999</v>
      </c>
      <c r="L212" s="119">
        <v>1.0273541500000001</v>
      </c>
      <c r="M212" s="2"/>
      <c r="N212" s="2"/>
      <c r="O212" s="2"/>
      <c r="P212" s="2"/>
      <c r="Q212" s="2"/>
      <c r="R212" s="2"/>
      <c r="S212" s="2"/>
      <c r="V212" s="77"/>
      <c r="W212" s="77"/>
      <c r="X212" s="77"/>
      <c r="Y212" s="77"/>
      <c r="Z212" s="77"/>
      <c r="AA212" s="77"/>
      <c r="AB212" s="77"/>
      <c r="AC212" s="77"/>
      <c r="AD212" s="77"/>
      <c r="AF212" s="80"/>
      <c r="AG212" s="80"/>
      <c r="AH212" s="80"/>
      <c r="AI212" s="80"/>
      <c r="AJ212" s="80"/>
      <c r="AK212" s="80"/>
      <c r="AL212" s="80"/>
      <c r="AM212" s="80"/>
      <c r="AN212" s="80"/>
      <c r="AO212" s="80"/>
    </row>
    <row r="213" spans="1:41" x14ac:dyDescent="0.35">
      <c r="A213" s="47">
        <v>10</v>
      </c>
      <c r="B213" s="118">
        <v>46324</v>
      </c>
      <c r="C213" s="119">
        <v>1</v>
      </c>
      <c r="D213" s="119">
        <v>0.92092479000000005</v>
      </c>
      <c r="E213" s="119">
        <v>1.03738942</v>
      </c>
      <c r="F213" s="119">
        <v>1.4350193499999999</v>
      </c>
      <c r="G213" s="119">
        <v>1.21045957</v>
      </c>
      <c r="H213" s="119">
        <v>1.0536640399999999</v>
      </c>
      <c r="I213" s="119">
        <v>1.0297353600000001</v>
      </c>
      <c r="J213" s="119">
        <v>1.0458143499999999</v>
      </c>
      <c r="K213" s="119">
        <v>1.0888532</v>
      </c>
      <c r="L213" s="119">
        <v>1.06524744</v>
      </c>
      <c r="M213" s="2"/>
      <c r="N213" s="2"/>
      <c r="O213" s="2"/>
      <c r="P213" s="2"/>
      <c r="Q213" s="2"/>
      <c r="R213" s="2"/>
      <c r="S213" s="2"/>
      <c r="V213" s="77"/>
      <c r="W213" s="77"/>
      <c r="X213" s="77"/>
      <c r="Y213" s="77"/>
      <c r="Z213" s="77"/>
      <c r="AA213" s="77"/>
      <c r="AB213" s="77"/>
      <c r="AC213" s="77"/>
      <c r="AD213" s="77"/>
      <c r="AF213" s="80"/>
      <c r="AG213" s="80"/>
      <c r="AH213" s="80"/>
      <c r="AI213" s="80"/>
      <c r="AJ213" s="80"/>
      <c r="AK213" s="80"/>
      <c r="AL213" s="80"/>
      <c r="AM213" s="80"/>
      <c r="AN213" s="80"/>
      <c r="AO213" s="80"/>
    </row>
    <row r="214" spans="1:41" x14ac:dyDescent="0.35">
      <c r="A214" s="47">
        <v>10</v>
      </c>
      <c r="B214" s="118">
        <v>46325</v>
      </c>
      <c r="C214" s="119">
        <v>1</v>
      </c>
      <c r="D214" s="119">
        <v>0.93307978000000003</v>
      </c>
      <c r="E214" s="119">
        <v>1.0640506700000001</v>
      </c>
      <c r="F214" s="119">
        <v>1.42901966</v>
      </c>
      <c r="G214" s="119">
        <v>1.2128090199999999</v>
      </c>
      <c r="H214" s="119">
        <v>1.06053255</v>
      </c>
      <c r="I214" s="119">
        <v>1.048519</v>
      </c>
      <c r="J214" s="119">
        <v>1.0705451399999999</v>
      </c>
      <c r="K214" s="119">
        <v>1.12005592</v>
      </c>
      <c r="L214" s="119">
        <v>1.1008042600000001</v>
      </c>
      <c r="M214" s="2"/>
      <c r="N214" s="2"/>
      <c r="O214" s="2"/>
      <c r="P214" s="2"/>
      <c r="Q214" s="2"/>
      <c r="R214" s="2"/>
      <c r="S214" s="2"/>
      <c r="V214" s="77"/>
      <c r="W214" s="77"/>
      <c r="X214" s="77"/>
      <c r="Y214" s="77"/>
      <c r="Z214" s="77"/>
      <c r="AA214" s="77"/>
      <c r="AB214" s="77"/>
      <c r="AC214" s="77"/>
      <c r="AD214" s="77"/>
      <c r="AF214" s="80"/>
      <c r="AG214" s="80"/>
      <c r="AH214" s="80"/>
      <c r="AI214" s="80"/>
      <c r="AJ214" s="80"/>
      <c r="AK214" s="80"/>
      <c r="AL214" s="80"/>
      <c r="AM214" s="80"/>
      <c r="AN214" s="80"/>
      <c r="AO214" s="80"/>
    </row>
    <row r="215" spans="1:41" x14ac:dyDescent="0.35">
      <c r="A215" s="47">
        <v>10</v>
      </c>
      <c r="B215" s="118">
        <v>46326</v>
      </c>
      <c r="C215" s="119">
        <v>0</v>
      </c>
      <c r="D215" s="119">
        <v>1.0085644</v>
      </c>
      <c r="E215" s="119">
        <v>1.0554225399999999</v>
      </c>
      <c r="F215" s="119">
        <v>0.55302132999999998</v>
      </c>
      <c r="G215" s="119">
        <v>0.71083963999999999</v>
      </c>
      <c r="H215" s="119">
        <v>0.70772842000000002</v>
      </c>
      <c r="I215" s="119">
        <v>0.99029173999999998</v>
      </c>
      <c r="J215" s="119">
        <v>1.0039306699999999</v>
      </c>
      <c r="K215" s="119">
        <v>0.98622253999999998</v>
      </c>
      <c r="L215" s="119">
        <v>0.97957196000000002</v>
      </c>
      <c r="M215" s="2"/>
      <c r="N215" s="2"/>
      <c r="O215" s="2"/>
      <c r="P215" s="2"/>
      <c r="Q215" s="2"/>
      <c r="R215" s="2"/>
      <c r="S215" s="2"/>
      <c r="V215" s="77"/>
      <c r="W215" s="77"/>
      <c r="X215" s="77"/>
      <c r="Y215" s="77"/>
      <c r="Z215" s="77"/>
      <c r="AA215" s="77"/>
      <c r="AB215" s="77"/>
      <c r="AC215" s="77"/>
      <c r="AD215" s="77"/>
      <c r="AF215" s="80"/>
      <c r="AG215" s="80"/>
      <c r="AH215" s="80"/>
      <c r="AI215" s="80"/>
      <c r="AJ215" s="80"/>
      <c r="AK215" s="80"/>
      <c r="AL215" s="80"/>
      <c r="AM215" s="80"/>
      <c r="AN215" s="80"/>
      <c r="AO215" s="80"/>
    </row>
    <row r="216" spans="1:41" x14ac:dyDescent="0.35">
      <c r="A216" s="47">
        <v>11</v>
      </c>
      <c r="B216" s="118">
        <v>46327</v>
      </c>
      <c r="C216" s="119">
        <v>0</v>
      </c>
      <c r="D216" s="119">
        <v>1.0219693999999999</v>
      </c>
      <c r="E216" s="119">
        <v>1.08210472</v>
      </c>
      <c r="F216" s="119">
        <v>0.55302132999999998</v>
      </c>
      <c r="G216" s="119">
        <v>0.71083963999999999</v>
      </c>
      <c r="H216" s="119">
        <v>0.71378816</v>
      </c>
      <c r="I216" s="119">
        <v>1.0086946699999999</v>
      </c>
      <c r="J216" s="119">
        <v>1.0279031199999999</v>
      </c>
      <c r="K216" s="119">
        <v>1.01488741</v>
      </c>
      <c r="L216" s="119">
        <v>1.0122400899999999</v>
      </c>
      <c r="M216" s="2"/>
      <c r="N216" s="2"/>
      <c r="O216" s="2"/>
      <c r="P216" s="2"/>
      <c r="Q216" s="2"/>
      <c r="R216" s="2"/>
      <c r="S216" s="2"/>
      <c r="V216" s="77"/>
      <c r="W216" s="77"/>
      <c r="X216" s="77"/>
      <c r="Y216" s="77"/>
      <c r="Z216" s="77"/>
      <c r="AA216" s="77"/>
      <c r="AB216" s="77"/>
      <c r="AC216" s="77"/>
      <c r="AD216" s="77"/>
      <c r="AF216" s="80"/>
      <c r="AG216" s="80"/>
      <c r="AH216" s="80"/>
      <c r="AI216" s="80"/>
      <c r="AJ216" s="80"/>
      <c r="AK216" s="80"/>
      <c r="AL216" s="80"/>
      <c r="AM216" s="80"/>
      <c r="AN216" s="80"/>
      <c r="AO216" s="80"/>
    </row>
    <row r="217" spans="1:41" x14ac:dyDescent="0.35">
      <c r="A217" s="47">
        <v>11</v>
      </c>
      <c r="B217" s="118">
        <v>46328</v>
      </c>
      <c r="C217" s="119">
        <v>1</v>
      </c>
      <c r="D217" s="119">
        <v>0.96957687999999997</v>
      </c>
      <c r="E217" s="119">
        <v>1.1440488900000001</v>
      </c>
      <c r="F217" s="119">
        <v>1.4170202599999999</v>
      </c>
      <c r="G217" s="119">
        <v>1.2175079099999999</v>
      </c>
      <c r="H217" s="119">
        <v>1.0811873000000001</v>
      </c>
      <c r="I217" s="119">
        <v>1.10489449</v>
      </c>
      <c r="J217" s="119">
        <v>1.1447559700000001</v>
      </c>
      <c r="K217" s="119">
        <v>1.21367453</v>
      </c>
      <c r="L217" s="119">
        <v>1.2074788999999999</v>
      </c>
      <c r="M217" s="2"/>
      <c r="N217" s="2"/>
      <c r="O217" s="2"/>
      <c r="P217" s="2"/>
      <c r="Q217" s="2"/>
      <c r="R217" s="2"/>
      <c r="S217" s="2"/>
      <c r="V217" s="77"/>
      <c r="W217" s="77"/>
      <c r="X217" s="77"/>
      <c r="Y217" s="77"/>
      <c r="Z217" s="77"/>
      <c r="AA217" s="77"/>
      <c r="AB217" s="77"/>
      <c r="AC217" s="77"/>
      <c r="AD217" s="77"/>
      <c r="AF217" s="80"/>
      <c r="AG217" s="80"/>
      <c r="AH217" s="80"/>
      <c r="AI217" s="80"/>
      <c r="AJ217" s="80"/>
      <c r="AK217" s="80"/>
      <c r="AL217" s="80"/>
      <c r="AM217" s="80"/>
      <c r="AN217" s="80"/>
      <c r="AO217" s="80"/>
    </row>
    <row r="218" spans="1:41" x14ac:dyDescent="0.35">
      <c r="A218" s="47">
        <v>11</v>
      </c>
      <c r="B218" s="118">
        <v>46329</v>
      </c>
      <c r="C218" s="119">
        <v>1</v>
      </c>
      <c r="D218" s="119">
        <v>0.98230592999999999</v>
      </c>
      <c r="E218" s="119">
        <v>1.1723809599999999</v>
      </c>
      <c r="F218" s="119">
        <v>1.41102057</v>
      </c>
      <c r="G218" s="119">
        <v>1.21985736</v>
      </c>
      <c r="H218" s="119">
        <v>1.0881516499999999</v>
      </c>
      <c r="I218" s="119">
        <v>1.1247496299999999</v>
      </c>
      <c r="J218" s="119">
        <v>1.17099964</v>
      </c>
      <c r="K218" s="119">
        <v>1.24688048</v>
      </c>
      <c r="L218" s="119">
        <v>1.2453753999999999</v>
      </c>
      <c r="M218" s="2"/>
      <c r="N218" s="2"/>
      <c r="O218" s="2"/>
      <c r="P218" s="2"/>
      <c r="Q218" s="2"/>
      <c r="R218" s="2"/>
      <c r="S218" s="2"/>
      <c r="V218" s="77"/>
      <c r="W218" s="77"/>
      <c r="X218" s="77"/>
      <c r="Y218" s="77"/>
      <c r="Z218" s="77"/>
      <c r="AA218" s="77"/>
      <c r="AB218" s="77"/>
      <c r="AC218" s="77"/>
      <c r="AD218" s="77"/>
      <c r="AF218" s="80"/>
      <c r="AG218" s="80"/>
      <c r="AH218" s="80"/>
      <c r="AI218" s="80"/>
      <c r="AJ218" s="80"/>
      <c r="AK218" s="80"/>
      <c r="AL218" s="80"/>
      <c r="AM218" s="80"/>
      <c r="AN218" s="80"/>
      <c r="AO218" s="80"/>
    </row>
    <row r="219" spans="1:41" x14ac:dyDescent="0.35">
      <c r="A219" s="47">
        <v>11</v>
      </c>
      <c r="B219" s="118">
        <v>46330</v>
      </c>
      <c r="C219" s="119">
        <v>1</v>
      </c>
      <c r="D219" s="119">
        <v>0.99392219000000004</v>
      </c>
      <c r="E219" s="119">
        <v>1.1973873100000001</v>
      </c>
      <c r="F219" s="119">
        <v>1.40502087</v>
      </c>
      <c r="G219" s="119">
        <v>1.2222068100000001</v>
      </c>
      <c r="H219" s="119">
        <v>1.09497844</v>
      </c>
      <c r="I219" s="119">
        <v>1.1424888</v>
      </c>
      <c r="J219" s="119">
        <v>1.1942378499999999</v>
      </c>
      <c r="K219" s="119">
        <v>1.2760914699999999</v>
      </c>
      <c r="L219" s="119">
        <v>1.27859715</v>
      </c>
      <c r="M219" s="2"/>
      <c r="N219" s="2"/>
      <c r="O219" s="2"/>
      <c r="P219" s="2"/>
      <c r="Q219" s="2"/>
      <c r="R219" s="2"/>
      <c r="S219" s="2"/>
      <c r="V219" s="77"/>
      <c r="W219" s="77"/>
      <c r="X219" s="77"/>
      <c r="Y219" s="77"/>
      <c r="Z219" s="77"/>
      <c r="AA219" s="77"/>
      <c r="AB219" s="77"/>
      <c r="AC219" s="77"/>
      <c r="AD219" s="77"/>
      <c r="AF219" s="80"/>
      <c r="AG219" s="80"/>
      <c r="AH219" s="80"/>
      <c r="AI219" s="80"/>
      <c r="AJ219" s="80"/>
      <c r="AK219" s="80"/>
      <c r="AL219" s="80"/>
      <c r="AM219" s="80"/>
      <c r="AN219" s="80"/>
      <c r="AO219" s="80"/>
    </row>
    <row r="220" spans="1:41" x14ac:dyDescent="0.35">
      <c r="A220" s="47">
        <v>11</v>
      </c>
      <c r="B220" s="118">
        <v>46331</v>
      </c>
      <c r="C220" s="119">
        <v>1</v>
      </c>
      <c r="D220" s="119">
        <v>1.0066522</v>
      </c>
      <c r="E220" s="119">
        <v>1.2257198199999999</v>
      </c>
      <c r="F220" s="119">
        <v>1.3990211699999999</v>
      </c>
      <c r="G220" s="119">
        <v>1.22455626</v>
      </c>
      <c r="H220" s="119">
        <v>1.1019442699999999</v>
      </c>
      <c r="I220" s="119">
        <v>1.1623446799999999</v>
      </c>
      <c r="J220" s="119">
        <v>1.22048208</v>
      </c>
      <c r="K220" s="119">
        <v>1.3092977400000001</v>
      </c>
      <c r="L220" s="119">
        <v>1.3164937699999999</v>
      </c>
      <c r="M220" s="2"/>
      <c r="N220" s="2"/>
      <c r="O220" s="2"/>
      <c r="P220" s="2"/>
      <c r="Q220" s="2"/>
      <c r="R220" s="2"/>
      <c r="S220" s="2"/>
      <c r="V220" s="77"/>
      <c r="W220" s="77"/>
      <c r="X220" s="77"/>
      <c r="Y220" s="77"/>
      <c r="Z220" s="77"/>
      <c r="AA220" s="77"/>
      <c r="AB220" s="77"/>
      <c r="AC220" s="77"/>
      <c r="AD220" s="77"/>
      <c r="AF220" s="80"/>
      <c r="AG220" s="80"/>
      <c r="AH220" s="80"/>
      <c r="AI220" s="80"/>
      <c r="AJ220" s="80"/>
      <c r="AK220" s="80"/>
      <c r="AL220" s="80"/>
      <c r="AM220" s="80"/>
      <c r="AN220" s="80"/>
      <c r="AO220" s="80"/>
    </row>
    <row r="221" spans="1:41" x14ac:dyDescent="0.35">
      <c r="A221" s="47">
        <v>11</v>
      </c>
      <c r="B221" s="118">
        <v>46332</v>
      </c>
      <c r="C221" s="119">
        <v>1</v>
      </c>
      <c r="D221" s="119">
        <v>1.0182669799999999</v>
      </c>
      <c r="E221" s="119">
        <v>1.2507254999999999</v>
      </c>
      <c r="F221" s="119">
        <v>1.39302148</v>
      </c>
      <c r="G221" s="119">
        <v>1.22690571</v>
      </c>
      <c r="H221" s="119">
        <v>1.1087687900000001</v>
      </c>
      <c r="I221" s="119">
        <v>1.1800827</v>
      </c>
      <c r="J221" s="119">
        <v>1.2437194300000001</v>
      </c>
      <c r="K221" s="119">
        <v>1.33850823</v>
      </c>
      <c r="L221" s="119">
        <v>1.3497153200000001</v>
      </c>
      <c r="M221" s="2"/>
      <c r="N221" s="2"/>
      <c r="O221" s="2"/>
      <c r="P221" s="2"/>
      <c r="Q221" s="2"/>
      <c r="R221" s="2"/>
      <c r="S221" s="2"/>
      <c r="V221" s="77"/>
      <c r="W221" s="77"/>
      <c r="X221" s="77"/>
      <c r="Y221" s="77"/>
      <c r="Z221" s="77"/>
      <c r="AA221" s="77"/>
      <c r="AB221" s="77"/>
      <c r="AC221" s="77"/>
      <c r="AD221" s="77"/>
      <c r="AF221" s="80"/>
      <c r="AG221" s="80"/>
      <c r="AH221" s="80"/>
      <c r="AI221" s="80"/>
      <c r="AJ221" s="80"/>
      <c r="AK221" s="80"/>
      <c r="AL221" s="80"/>
      <c r="AM221" s="80"/>
      <c r="AN221" s="80"/>
      <c r="AO221" s="80"/>
    </row>
    <row r="222" spans="1:41" x14ac:dyDescent="0.35">
      <c r="A222" s="47">
        <v>11</v>
      </c>
      <c r="B222" s="118">
        <v>46333</v>
      </c>
      <c r="C222" s="119">
        <v>0</v>
      </c>
      <c r="D222" s="119">
        <v>1.10242934</v>
      </c>
      <c r="E222" s="119">
        <v>1.2422106900000001</v>
      </c>
      <c r="F222" s="119">
        <v>0.52962253000000004</v>
      </c>
      <c r="G222" s="119">
        <v>0.72382835999999995</v>
      </c>
      <c r="H222" s="119">
        <v>0.75016930000000004</v>
      </c>
      <c r="I222" s="119">
        <v>1.1191311100000001</v>
      </c>
      <c r="J222" s="119">
        <v>1.17175469</v>
      </c>
      <c r="K222" s="119">
        <v>1.1868867400000001</v>
      </c>
      <c r="L222" s="119">
        <v>1.2082532100000001</v>
      </c>
      <c r="M222" s="2"/>
      <c r="N222" s="2"/>
      <c r="O222" s="2"/>
      <c r="P222" s="2"/>
      <c r="Q222" s="2"/>
      <c r="R222" s="2"/>
      <c r="S222" s="2"/>
      <c r="V222" s="77"/>
      <c r="W222" s="77"/>
      <c r="X222" s="77"/>
      <c r="Y222" s="77"/>
      <c r="Z222" s="77"/>
      <c r="AA222" s="77"/>
      <c r="AB222" s="77"/>
      <c r="AC222" s="77"/>
      <c r="AD222" s="77"/>
      <c r="AF222" s="80"/>
      <c r="AG222" s="80"/>
      <c r="AH222" s="80"/>
      <c r="AI222" s="80"/>
      <c r="AJ222" s="80"/>
      <c r="AK222" s="80"/>
      <c r="AL222" s="80"/>
      <c r="AM222" s="80"/>
      <c r="AN222" s="80"/>
      <c r="AO222" s="80"/>
    </row>
    <row r="223" spans="1:41" x14ac:dyDescent="0.35">
      <c r="A223" s="47">
        <v>11</v>
      </c>
      <c r="B223" s="118">
        <v>46334</v>
      </c>
      <c r="C223" s="119">
        <v>0</v>
      </c>
      <c r="D223" s="119">
        <v>1.11517585</v>
      </c>
      <c r="E223" s="119">
        <v>1.26721518</v>
      </c>
      <c r="F223" s="119">
        <v>0.52572273000000003</v>
      </c>
      <c r="G223" s="119">
        <v>0.72599314000000004</v>
      </c>
      <c r="H223" s="119">
        <v>0.75600330000000004</v>
      </c>
      <c r="I223" s="119">
        <v>1.1364551700000001</v>
      </c>
      <c r="J223" s="119">
        <v>1.1942615700000001</v>
      </c>
      <c r="K223" s="119">
        <v>1.21372035</v>
      </c>
      <c r="L223" s="119">
        <v>1.23877748</v>
      </c>
      <c r="M223" s="2"/>
      <c r="N223" s="2"/>
      <c r="O223" s="2"/>
      <c r="P223" s="2"/>
      <c r="Q223" s="2"/>
      <c r="R223" s="2"/>
      <c r="S223" s="2"/>
      <c r="V223" s="77"/>
      <c r="W223" s="77"/>
      <c r="X223" s="77"/>
      <c r="Y223" s="77"/>
      <c r="Z223" s="77"/>
      <c r="AA223" s="77"/>
      <c r="AB223" s="77"/>
      <c r="AC223" s="77"/>
      <c r="AD223" s="77"/>
      <c r="AF223" s="80"/>
      <c r="AG223" s="80"/>
      <c r="AH223" s="80"/>
      <c r="AI223" s="80"/>
      <c r="AJ223" s="80"/>
      <c r="AK223" s="80"/>
      <c r="AL223" s="80"/>
      <c r="AM223" s="80"/>
      <c r="AN223" s="80"/>
      <c r="AO223" s="80"/>
    </row>
    <row r="224" spans="1:41" x14ac:dyDescent="0.35">
      <c r="A224" s="47">
        <v>11</v>
      </c>
      <c r="B224" s="118">
        <v>46335</v>
      </c>
      <c r="C224" s="119">
        <v>1</v>
      </c>
      <c r="D224" s="119">
        <v>1.0542052500000001</v>
      </c>
      <c r="E224" s="119">
        <v>1.32905976</v>
      </c>
      <c r="F224" s="119">
        <v>1.3750223800000001</v>
      </c>
      <c r="G224" s="119">
        <v>1.2339540499999999</v>
      </c>
      <c r="H224" s="119">
        <v>1.1293510200000001</v>
      </c>
      <c r="I224" s="119">
        <v>1.2353983500000001</v>
      </c>
      <c r="J224" s="119">
        <v>1.31642612</v>
      </c>
      <c r="K224" s="119">
        <v>1.43012856</v>
      </c>
      <c r="L224" s="119">
        <v>1.45405228</v>
      </c>
      <c r="M224" s="2"/>
      <c r="N224" s="2"/>
      <c r="O224" s="2"/>
      <c r="P224" s="2"/>
      <c r="Q224" s="2"/>
      <c r="R224" s="2"/>
      <c r="S224" s="2"/>
      <c r="V224" s="77"/>
      <c r="W224" s="77"/>
      <c r="X224" s="77"/>
      <c r="Y224" s="77"/>
      <c r="Z224" s="77"/>
      <c r="AA224" s="77"/>
      <c r="AB224" s="77"/>
      <c r="AC224" s="77"/>
      <c r="AD224" s="77"/>
      <c r="AF224" s="80"/>
      <c r="AG224" s="80"/>
      <c r="AH224" s="80"/>
      <c r="AI224" s="80"/>
      <c r="AJ224" s="80"/>
      <c r="AK224" s="80"/>
      <c r="AL224" s="80"/>
      <c r="AM224" s="80"/>
      <c r="AN224" s="80"/>
      <c r="AO224" s="80"/>
    </row>
    <row r="225" spans="1:41" x14ac:dyDescent="0.35">
      <c r="A225" s="47">
        <v>11</v>
      </c>
      <c r="B225" s="118">
        <v>46336</v>
      </c>
      <c r="C225" s="119">
        <v>1</v>
      </c>
      <c r="D225" s="119">
        <v>1.0658028900000001</v>
      </c>
      <c r="E225" s="119">
        <v>1.35405771</v>
      </c>
      <c r="F225" s="119">
        <v>1.36902269</v>
      </c>
      <c r="G225" s="119">
        <v>1.2363035</v>
      </c>
      <c r="H225" s="119">
        <v>1.13614927</v>
      </c>
      <c r="I225" s="119">
        <v>1.25312326</v>
      </c>
      <c r="J225" s="119">
        <v>1.33965362</v>
      </c>
      <c r="K225" s="119">
        <v>1.45933348</v>
      </c>
      <c r="L225" s="119">
        <v>1.4872715999999999</v>
      </c>
      <c r="M225" s="2"/>
      <c r="N225" s="2"/>
      <c r="O225" s="2"/>
      <c r="P225" s="2"/>
      <c r="Q225" s="2"/>
      <c r="R225" s="2"/>
      <c r="S225" s="2"/>
      <c r="V225" s="77"/>
      <c r="W225" s="77"/>
      <c r="X225" s="77"/>
      <c r="Y225" s="77"/>
      <c r="Z225" s="77"/>
      <c r="AA225" s="77"/>
      <c r="AB225" s="77"/>
      <c r="AC225" s="77"/>
      <c r="AD225" s="77"/>
      <c r="AF225" s="80"/>
      <c r="AG225" s="80"/>
      <c r="AH225" s="80"/>
      <c r="AI225" s="80"/>
      <c r="AJ225" s="80"/>
      <c r="AK225" s="80"/>
      <c r="AL225" s="80"/>
      <c r="AM225" s="80"/>
      <c r="AN225" s="80"/>
      <c r="AO225" s="80"/>
    </row>
    <row r="226" spans="1:41" x14ac:dyDescent="0.35">
      <c r="A226" s="47">
        <v>11</v>
      </c>
      <c r="B226" s="118">
        <v>46337</v>
      </c>
      <c r="C226" s="119">
        <v>0</v>
      </c>
      <c r="D226" s="119">
        <v>1.1540419399999999</v>
      </c>
      <c r="E226" s="119">
        <v>1.34389263</v>
      </c>
      <c r="F226" s="119">
        <v>0.51402331999999995</v>
      </c>
      <c r="G226" s="119">
        <v>0.73248749999999996</v>
      </c>
      <c r="H226" s="119">
        <v>0.77370682000000002</v>
      </c>
      <c r="I226" s="119">
        <v>1.18948611</v>
      </c>
      <c r="J226" s="119">
        <v>1.2632297699999999</v>
      </c>
      <c r="K226" s="119">
        <v>1.2960416100000001</v>
      </c>
      <c r="L226" s="119">
        <v>1.33248955</v>
      </c>
      <c r="M226" s="2"/>
      <c r="N226" s="2"/>
      <c r="O226" s="2"/>
      <c r="P226" s="2"/>
      <c r="Q226" s="2"/>
      <c r="R226" s="2"/>
      <c r="S226" s="2"/>
      <c r="V226" s="77"/>
      <c r="W226" s="77"/>
      <c r="X226" s="77"/>
      <c r="Y226" s="77"/>
      <c r="Z226" s="77"/>
      <c r="AA226" s="77"/>
      <c r="AB226" s="77"/>
      <c r="AC226" s="77"/>
      <c r="AD226" s="77"/>
      <c r="AF226" s="80"/>
      <c r="AG226" s="80"/>
      <c r="AH226" s="80"/>
      <c r="AI226" s="80"/>
      <c r="AJ226" s="80"/>
      <c r="AK226" s="80"/>
      <c r="AL226" s="80"/>
      <c r="AM226" s="80"/>
      <c r="AN226" s="80"/>
      <c r="AO226" s="80"/>
    </row>
    <row r="227" spans="1:41" x14ac:dyDescent="0.35">
      <c r="A227" s="47">
        <v>11</v>
      </c>
      <c r="B227" s="118">
        <v>46338</v>
      </c>
      <c r="C227" s="119">
        <v>1</v>
      </c>
      <c r="D227" s="119">
        <v>1.08841879</v>
      </c>
      <c r="E227" s="119">
        <v>1.40238039</v>
      </c>
      <c r="F227" s="119">
        <v>1.3570232900000001</v>
      </c>
      <c r="G227" s="119">
        <v>1.2410023999999999</v>
      </c>
      <c r="H227" s="119">
        <v>1.1496417800000001</v>
      </c>
      <c r="I227" s="119">
        <v>1.2874975200000001</v>
      </c>
      <c r="J227" s="119">
        <v>1.38459267</v>
      </c>
      <c r="K227" s="119">
        <v>1.51573834</v>
      </c>
      <c r="L227" s="119">
        <v>1.55136988</v>
      </c>
      <c r="M227" s="2"/>
      <c r="N227" s="2"/>
      <c r="O227" s="2"/>
      <c r="P227" s="2"/>
      <c r="Q227" s="2"/>
      <c r="R227" s="2"/>
      <c r="S227" s="2"/>
      <c r="V227" s="77"/>
      <c r="W227" s="77"/>
      <c r="X227" s="77"/>
      <c r="Y227" s="77"/>
      <c r="Z227" s="77"/>
      <c r="AA227" s="77"/>
      <c r="AB227" s="77"/>
      <c r="AC227" s="77"/>
      <c r="AD227" s="77"/>
      <c r="AF227" s="80"/>
      <c r="AG227" s="80"/>
      <c r="AH227" s="80"/>
      <c r="AI227" s="80"/>
      <c r="AJ227" s="80"/>
      <c r="AK227" s="80"/>
      <c r="AL227" s="80"/>
      <c r="AM227" s="80"/>
      <c r="AN227" s="80"/>
      <c r="AO227" s="80"/>
    </row>
    <row r="228" spans="1:41" x14ac:dyDescent="0.35">
      <c r="A228" s="47">
        <v>11</v>
      </c>
      <c r="B228" s="118">
        <v>46339</v>
      </c>
      <c r="C228" s="119">
        <v>1</v>
      </c>
      <c r="D228" s="119">
        <v>1.1005487700000001</v>
      </c>
      <c r="E228" s="119">
        <v>1.4290303499999999</v>
      </c>
      <c r="F228" s="119">
        <v>1.3510236</v>
      </c>
      <c r="G228" s="119">
        <v>1.24335185</v>
      </c>
      <c r="H228" s="119">
        <v>1.1564719699999999</v>
      </c>
      <c r="I228" s="119">
        <v>1.3062620300000001</v>
      </c>
      <c r="J228" s="119">
        <v>1.40930909</v>
      </c>
      <c r="K228" s="119">
        <v>1.5469329199999999</v>
      </c>
      <c r="L228" s="119">
        <v>1.5869234400000001</v>
      </c>
      <c r="M228" s="2"/>
      <c r="N228" s="2"/>
      <c r="O228" s="2"/>
      <c r="P228" s="2"/>
      <c r="Q228" s="2"/>
      <c r="R228" s="2"/>
      <c r="S228" s="2"/>
      <c r="V228" s="77"/>
      <c r="W228" s="77"/>
      <c r="X228" s="77"/>
      <c r="Y228" s="77"/>
      <c r="Z228" s="77"/>
      <c r="AA228" s="77"/>
      <c r="AB228" s="77"/>
      <c r="AC228" s="77"/>
      <c r="AD228" s="77"/>
      <c r="AF228" s="80"/>
      <c r="AG228" s="80"/>
      <c r="AH228" s="80"/>
      <c r="AI228" s="80"/>
      <c r="AJ228" s="80"/>
      <c r="AK228" s="80"/>
      <c r="AL228" s="80"/>
      <c r="AM228" s="80"/>
      <c r="AN228" s="80"/>
      <c r="AO228" s="80"/>
    </row>
    <row r="229" spans="1:41" x14ac:dyDescent="0.35">
      <c r="A229" s="47">
        <v>11</v>
      </c>
      <c r="B229" s="118">
        <v>46340</v>
      </c>
      <c r="C229" s="119">
        <v>0</v>
      </c>
      <c r="D229" s="119">
        <v>1.1921817800000001</v>
      </c>
      <c r="E229" s="119">
        <v>1.41886325</v>
      </c>
      <c r="F229" s="119">
        <v>0.50232392000000003</v>
      </c>
      <c r="G229" s="119">
        <v>0.73898185999999999</v>
      </c>
      <c r="H229" s="119">
        <v>0.79113323999999996</v>
      </c>
      <c r="I229" s="119">
        <v>1.2413955400000001</v>
      </c>
      <c r="J229" s="119">
        <v>1.3306942100000001</v>
      </c>
      <c r="K229" s="119">
        <v>1.37650863</v>
      </c>
      <c r="L229" s="119">
        <v>1.4240479500000001</v>
      </c>
      <c r="M229" s="2"/>
      <c r="N229" s="2"/>
      <c r="O229" s="2"/>
      <c r="P229" s="2"/>
      <c r="Q229" s="2"/>
      <c r="R229" s="2"/>
      <c r="S229" s="2"/>
      <c r="V229" s="77"/>
      <c r="W229" s="77"/>
      <c r="X229" s="77"/>
      <c r="Y229" s="77"/>
      <c r="Z229" s="77"/>
      <c r="AA229" s="77"/>
      <c r="AB229" s="77"/>
      <c r="AC229" s="77"/>
      <c r="AD229" s="77"/>
      <c r="AF229" s="80"/>
      <c r="AG229" s="80"/>
      <c r="AH229" s="80"/>
      <c r="AI229" s="80"/>
      <c r="AJ229" s="80"/>
      <c r="AK229" s="80"/>
      <c r="AL229" s="80"/>
      <c r="AM229" s="80"/>
      <c r="AN229" s="80"/>
      <c r="AO229" s="80"/>
    </row>
    <row r="230" spans="1:41" x14ac:dyDescent="0.35">
      <c r="A230" s="47">
        <v>11</v>
      </c>
      <c r="B230" s="118">
        <v>46341</v>
      </c>
      <c r="C230" s="119">
        <v>0</v>
      </c>
      <c r="D230" s="119">
        <v>1.20355956</v>
      </c>
      <c r="E230" s="119">
        <v>1.4404901299999999</v>
      </c>
      <c r="F230" s="119">
        <v>0.49842412000000003</v>
      </c>
      <c r="G230" s="119">
        <v>0.74114663999999997</v>
      </c>
      <c r="H230" s="119">
        <v>0.79647650999999997</v>
      </c>
      <c r="I230" s="119">
        <v>1.2565292699999999</v>
      </c>
      <c r="J230" s="119">
        <v>1.35024078</v>
      </c>
      <c r="K230" s="119">
        <v>1.39966218</v>
      </c>
      <c r="L230" s="119">
        <v>1.4502770300000001</v>
      </c>
      <c r="M230" s="2"/>
      <c r="N230" s="2"/>
      <c r="O230" s="2"/>
      <c r="P230" s="2"/>
      <c r="Q230" s="2"/>
      <c r="R230" s="2"/>
      <c r="S230" s="2"/>
      <c r="V230" s="77"/>
      <c r="W230" s="77"/>
      <c r="X230" s="77"/>
      <c r="Y230" s="77"/>
      <c r="Z230" s="77"/>
      <c r="AA230" s="77"/>
      <c r="AB230" s="77"/>
      <c r="AC230" s="77"/>
      <c r="AD230" s="77"/>
      <c r="AF230" s="80"/>
      <c r="AG230" s="80"/>
      <c r="AH230" s="80"/>
      <c r="AI230" s="80"/>
      <c r="AJ230" s="80"/>
      <c r="AK230" s="80"/>
      <c r="AL230" s="80"/>
      <c r="AM230" s="80"/>
      <c r="AN230" s="80"/>
      <c r="AO230" s="80"/>
    </row>
    <row r="231" spans="1:41" x14ac:dyDescent="0.35">
      <c r="A231" s="47">
        <v>11</v>
      </c>
      <c r="B231" s="118">
        <v>46342</v>
      </c>
      <c r="C231" s="119">
        <v>1</v>
      </c>
      <c r="D231" s="119">
        <v>1.13408807</v>
      </c>
      <c r="E231" s="119">
        <v>1.50063495</v>
      </c>
      <c r="F231" s="119">
        <v>1.32751917</v>
      </c>
      <c r="G231" s="119">
        <v>1.2447657400000001</v>
      </c>
      <c r="H231" s="119">
        <v>1.1765133699999999</v>
      </c>
      <c r="I231" s="119">
        <v>1.35721307</v>
      </c>
      <c r="J231" s="119">
        <v>1.47590515</v>
      </c>
      <c r="K231" s="119">
        <v>1.6305068300000001</v>
      </c>
      <c r="L231" s="119">
        <v>1.6818883200000001</v>
      </c>
      <c r="M231" s="2"/>
      <c r="N231" s="2"/>
      <c r="O231" s="2"/>
      <c r="P231" s="2"/>
      <c r="Q231" s="2"/>
      <c r="R231" s="2"/>
      <c r="S231" s="2"/>
      <c r="V231" s="77"/>
      <c r="W231" s="77"/>
      <c r="X231" s="77"/>
      <c r="Y231" s="77"/>
      <c r="Z231" s="77"/>
      <c r="AA231" s="77"/>
      <c r="AB231" s="77"/>
      <c r="AC231" s="77"/>
      <c r="AD231" s="77"/>
      <c r="AF231" s="80"/>
      <c r="AG231" s="80"/>
      <c r="AH231" s="80"/>
      <c r="AI231" s="80"/>
      <c r="AJ231" s="80"/>
      <c r="AK231" s="80"/>
      <c r="AL231" s="80"/>
      <c r="AM231" s="80"/>
      <c r="AN231" s="80"/>
      <c r="AO231" s="80"/>
    </row>
    <row r="232" spans="1:41" x14ac:dyDescent="0.35">
      <c r="A232" s="47">
        <v>11</v>
      </c>
      <c r="B232" s="118">
        <v>46343</v>
      </c>
      <c r="C232" s="119">
        <v>1</v>
      </c>
      <c r="D232" s="119">
        <v>1.1444999199999999</v>
      </c>
      <c r="E232" s="119">
        <v>1.5222742499999999</v>
      </c>
      <c r="F232" s="119">
        <v>1.3160141299999999</v>
      </c>
      <c r="G232" s="119">
        <v>1.2414807299999999</v>
      </c>
      <c r="H232" s="119">
        <v>1.1830622</v>
      </c>
      <c r="I232" s="119">
        <v>1.3727661600000001</v>
      </c>
      <c r="J232" s="119">
        <v>1.4960852099999999</v>
      </c>
      <c r="K232" s="119">
        <v>1.6556930000000001</v>
      </c>
      <c r="L232" s="119">
        <v>1.7104233799999999</v>
      </c>
      <c r="M232" s="2"/>
      <c r="N232" s="2"/>
      <c r="O232" s="2"/>
      <c r="P232" s="2"/>
      <c r="Q232" s="2"/>
      <c r="R232" s="2"/>
      <c r="S232" s="2"/>
      <c r="V232" s="77"/>
      <c r="W232" s="77"/>
      <c r="X232" s="77"/>
      <c r="Y232" s="77"/>
      <c r="Z232" s="77"/>
      <c r="AA232" s="77"/>
      <c r="AB232" s="77"/>
      <c r="AC232" s="77"/>
      <c r="AD232" s="77"/>
      <c r="AF232" s="80"/>
      <c r="AG232" s="80"/>
      <c r="AH232" s="80"/>
      <c r="AI232" s="80"/>
      <c r="AJ232" s="80"/>
      <c r="AK232" s="80"/>
      <c r="AL232" s="80"/>
      <c r="AM232" s="80"/>
      <c r="AN232" s="80"/>
      <c r="AO232" s="80"/>
    </row>
    <row r="233" spans="1:41" x14ac:dyDescent="0.35">
      <c r="A233" s="47">
        <v>11</v>
      </c>
      <c r="B233" s="118">
        <v>46344</v>
      </c>
      <c r="C233" s="119">
        <v>1</v>
      </c>
      <c r="D233" s="119">
        <v>1.15545443</v>
      </c>
      <c r="E233" s="119">
        <v>1.5455702099999999</v>
      </c>
      <c r="F233" s="119">
        <v>1.30450909</v>
      </c>
      <c r="G233" s="119">
        <v>1.23819572</v>
      </c>
      <c r="H233" s="119">
        <v>1.1896587700000001</v>
      </c>
      <c r="I233" s="119">
        <v>1.38936674</v>
      </c>
      <c r="J233" s="119">
        <v>1.51776011</v>
      </c>
      <c r="K233" s="119">
        <v>1.6828721799999999</v>
      </c>
      <c r="L233" s="119">
        <v>1.7412940299999999</v>
      </c>
      <c r="M233" s="2"/>
      <c r="N233" s="2"/>
      <c r="O233" s="2"/>
      <c r="P233" s="2"/>
      <c r="Q233" s="2"/>
      <c r="R233" s="2"/>
      <c r="S233" s="2"/>
      <c r="V233" s="77"/>
      <c r="W233" s="77"/>
      <c r="X233" s="77"/>
      <c r="Y233" s="77"/>
      <c r="Z233" s="77"/>
      <c r="AA233" s="77"/>
      <c r="AB233" s="77"/>
      <c r="AC233" s="77"/>
      <c r="AD233" s="77"/>
      <c r="AF233" s="80"/>
      <c r="AG233" s="80"/>
      <c r="AH233" s="80"/>
      <c r="AI233" s="80"/>
      <c r="AJ233" s="80"/>
      <c r="AK233" s="80"/>
      <c r="AL233" s="80"/>
      <c r="AM233" s="80"/>
      <c r="AN233" s="80"/>
      <c r="AO233" s="80"/>
    </row>
    <row r="234" spans="1:41" x14ac:dyDescent="0.35">
      <c r="A234" s="47">
        <v>11</v>
      </c>
      <c r="B234" s="118">
        <v>46345</v>
      </c>
      <c r="C234" s="119">
        <v>1</v>
      </c>
      <c r="D234" s="119">
        <v>1.16639373</v>
      </c>
      <c r="E234" s="119">
        <v>1.5688593099999999</v>
      </c>
      <c r="F234" s="119">
        <v>1.2930040599999999</v>
      </c>
      <c r="G234" s="119">
        <v>1.2349107100000001</v>
      </c>
      <c r="H234" s="119">
        <v>1.19623203</v>
      </c>
      <c r="I234" s="119">
        <v>1.4059556799999999</v>
      </c>
      <c r="J234" s="119">
        <v>1.5394262700000001</v>
      </c>
      <c r="K234" s="119">
        <v>1.7100464099999999</v>
      </c>
      <c r="L234" s="119">
        <v>1.7721627</v>
      </c>
      <c r="M234" s="2"/>
      <c r="N234" s="2"/>
      <c r="O234" s="2"/>
      <c r="P234" s="2"/>
      <c r="Q234" s="2"/>
      <c r="R234" s="2"/>
      <c r="S234" s="2"/>
      <c r="V234" s="77"/>
      <c r="W234" s="77"/>
      <c r="X234" s="77"/>
      <c r="Y234" s="77"/>
      <c r="Z234" s="77"/>
      <c r="AA234" s="77"/>
      <c r="AB234" s="77"/>
      <c r="AC234" s="77"/>
      <c r="AD234" s="77"/>
      <c r="AF234" s="80"/>
      <c r="AG234" s="80"/>
      <c r="AH234" s="80"/>
      <c r="AI234" s="80"/>
      <c r="AJ234" s="80"/>
      <c r="AK234" s="80"/>
      <c r="AL234" s="80"/>
      <c r="AM234" s="80"/>
      <c r="AN234" s="80"/>
      <c r="AO234" s="80"/>
    </row>
    <row r="235" spans="1:41" x14ac:dyDescent="0.35">
      <c r="A235" s="47">
        <v>11</v>
      </c>
      <c r="B235" s="118">
        <v>46346</v>
      </c>
      <c r="C235" s="119">
        <v>1</v>
      </c>
      <c r="D235" s="119">
        <v>1.17675996</v>
      </c>
      <c r="E235" s="119">
        <v>1.5904780300000001</v>
      </c>
      <c r="F235" s="119">
        <v>1.28149902</v>
      </c>
      <c r="G235" s="119">
        <v>1.2316256999999999</v>
      </c>
      <c r="H235" s="119">
        <v>1.2027109600000001</v>
      </c>
      <c r="I235" s="119">
        <v>1.42147388</v>
      </c>
      <c r="J235" s="119">
        <v>1.55958011</v>
      </c>
      <c r="K235" s="119">
        <v>1.73521773</v>
      </c>
      <c r="L235" s="119">
        <v>1.8006918199999999</v>
      </c>
      <c r="M235" s="2"/>
      <c r="N235" s="2"/>
      <c r="O235" s="2"/>
      <c r="P235" s="2"/>
      <c r="Q235" s="2"/>
      <c r="R235" s="2"/>
      <c r="S235" s="2"/>
      <c r="V235" s="77"/>
      <c r="W235" s="77"/>
      <c r="X235" s="77"/>
      <c r="Y235" s="77"/>
      <c r="Z235" s="77"/>
      <c r="AA235" s="77"/>
      <c r="AB235" s="77"/>
      <c r="AC235" s="77"/>
      <c r="AD235" s="77"/>
      <c r="AF235" s="80"/>
      <c r="AG235" s="80"/>
      <c r="AH235" s="80"/>
      <c r="AI235" s="80"/>
      <c r="AJ235" s="80"/>
      <c r="AK235" s="80"/>
      <c r="AL235" s="80"/>
      <c r="AM235" s="80"/>
      <c r="AN235" s="80"/>
      <c r="AO235" s="80"/>
    </row>
    <row r="236" spans="1:41" x14ac:dyDescent="0.35">
      <c r="A236" s="47">
        <v>11</v>
      </c>
      <c r="B236" s="118">
        <v>46347</v>
      </c>
      <c r="C236" s="119">
        <v>0</v>
      </c>
      <c r="D236" s="119">
        <v>1.27418615</v>
      </c>
      <c r="E236" s="119">
        <v>1.57684428</v>
      </c>
      <c r="F236" s="119">
        <v>0.46204484000000001</v>
      </c>
      <c r="G236" s="119">
        <v>0.72785538000000005</v>
      </c>
      <c r="H236" s="119">
        <v>0.82923142000000005</v>
      </c>
      <c r="I236" s="119">
        <v>1.3514747199999999</v>
      </c>
      <c r="J236" s="119">
        <v>1.4732279399999999</v>
      </c>
      <c r="K236" s="119">
        <v>1.5458156000000001</v>
      </c>
      <c r="L236" s="119">
        <v>1.6161872900000001</v>
      </c>
      <c r="M236" s="2"/>
      <c r="N236" s="2"/>
      <c r="O236" s="2"/>
      <c r="P236" s="2"/>
      <c r="Q236" s="2"/>
      <c r="R236" s="2"/>
      <c r="S236" s="2"/>
      <c r="V236" s="77"/>
      <c r="W236" s="77"/>
      <c r="X236" s="77"/>
      <c r="Y236" s="77"/>
      <c r="Z236" s="77"/>
      <c r="AA236" s="77"/>
      <c r="AB236" s="77"/>
      <c r="AC236" s="77"/>
      <c r="AD236" s="77"/>
      <c r="AF236" s="80"/>
      <c r="AG236" s="80"/>
      <c r="AH236" s="80"/>
      <c r="AI236" s="80"/>
      <c r="AJ236" s="80"/>
      <c r="AK236" s="80"/>
      <c r="AL236" s="80"/>
      <c r="AM236" s="80"/>
      <c r="AN236" s="80"/>
      <c r="AO236" s="80"/>
    </row>
    <row r="237" spans="1:41" x14ac:dyDescent="0.35">
      <c r="A237" s="47">
        <v>11</v>
      </c>
      <c r="B237" s="118">
        <v>46348</v>
      </c>
      <c r="C237" s="119">
        <v>0</v>
      </c>
      <c r="D237" s="119">
        <v>1.2854654000000001</v>
      </c>
      <c r="E237" s="119">
        <v>1.5984287800000001</v>
      </c>
      <c r="F237" s="119">
        <v>0.45598161999999998</v>
      </c>
      <c r="G237" s="119">
        <v>0.72564017999999997</v>
      </c>
      <c r="H237" s="119">
        <v>0.83450000999999996</v>
      </c>
      <c r="I237" s="119">
        <v>1.36654645</v>
      </c>
      <c r="J237" s="119">
        <v>1.49271895</v>
      </c>
      <c r="K237" s="119">
        <v>1.5689357500000001</v>
      </c>
      <c r="L237" s="119">
        <v>1.6424021099999999</v>
      </c>
      <c r="M237" s="2"/>
      <c r="N237" s="2"/>
      <c r="O237" s="2"/>
      <c r="P237" s="2"/>
      <c r="Q237" s="2"/>
      <c r="R237" s="2"/>
      <c r="S237" s="2"/>
      <c r="V237" s="77"/>
      <c r="W237" s="77"/>
      <c r="X237" s="77"/>
      <c r="Y237" s="77"/>
      <c r="Z237" s="77"/>
      <c r="AA237" s="77"/>
      <c r="AB237" s="77"/>
      <c r="AC237" s="77"/>
      <c r="AD237" s="77"/>
      <c r="AF237" s="80"/>
      <c r="AG237" s="80"/>
      <c r="AH237" s="80"/>
      <c r="AI237" s="80"/>
      <c r="AJ237" s="80"/>
      <c r="AK237" s="80"/>
      <c r="AL237" s="80"/>
      <c r="AM237" s="80"/>
      <c r="AN237" s="80"/>
      <c r="AO237" s="80"/>
    </row>
    <row r="238" spans="1:41" x14ac:dyDescent="0.35">
      <c r="A238" s="47">
        <v>11</v>
      </c>
      <c r="B238" s="118">
        <v>46349</v>
      </c>
      <c r="C238" s="119">
        <v>1</v>
      </c>
      <c r="D238" s="119">
        <v>1.2071961200000001</v>
      </c>
      <c r="E238" s="119">
        <v>1.65362345</v>
      </c>
      <c r="F238" s="119">
        <v>1.24698391</v>
      </c>
      <c r="G238" s="119">
        <v>1.2217706800000001</v>
      </c>
      <c r="H238" s="119">
        <v>1.22191633</v>
      </c>
      <c r="I238" s="119">
        <v>1.4668892899999999</v>
      </c>
      <c r="J238" s="119">
        <v>1.61847787</v>
      </c>
      <c r="K238" s="119">
        <v>1.8086996200000001</v>
      </c>
      <c r="L238" s="119">
        <v>1.8839279799999999</v>
      </c>
      <c r="M238" s="2"/>
      <c r="N238" s="2"/>
      <c r="O238" s="2"/>
      <c r="P238" s="2"/>
      <c r="Q238" s="2"/>
      <c r="R238" s="2"/>
      <c r="S238" s="2"/>
      <c r="V238" s="77"/>
      <c r="W238" s="77"/>
      <c r="X238" s="77"/>
      <c r="Y238" s="77"/>
      <c r="Z238" s="77"/>
      <c r="AA238" s="77"/>
      <c r="AB238" s="77"/>
      <c r="AC238" s="77"/>
      <c r="AD238" s="77"/>
      <c r="AF238" s="80"/>
      <c r="AG238" s="80"/>
      <c r="AH238" s="80"/>
      <c r="AI238" s="80"/>
      <c r="AJ238" s="80"/>
      <c r="AK238" s="80"/>
      <c r="AL238" s="80"/>
      <c r="AM238" s="80"/>
      <c r="AN238" s="80"/>
      <c r="AO238" s="80"/>
    </row>
    <row r="239" spans="1:41" x14ac:dyDescent="0.35">
      <c r="A239" s="47">
        <v>11</v>
      </c>
      <c r="B239" s="118">
        <v>46350</v>
      </c>
      <c r="C239" s="119">
        <v>1</v>
      </c>
      <c r="D239" s="119">
        <v>1.2169321799999999</v>
      </c>
      <c r="E239" s="119">
        <v>1.6735460200000001</v>
      </c>
      <c r="F239" s="119">
        <v>1.2354788699999999</v>
      </c>
      <c r="G239" s="119">
        <v>1.21848567</v>
      </c>
      <c r="H239" s="119">
        <v>1.2282134199999999</v>
      </c>
      <c r="I239" s="119">
        <v>1.4812930500000001</v>
      </c>
      <c r="J239" s="119">
        <v>1.63708655</v>
      </c>
      <c r="K239" s="119">
        <v>1.83184941</v>
      </c>
      <c r="L239" s="119">
        <v>1.9101101199999999</v>
      </c>
      <c r="M239" s="2"/>
      <c r="N239" s="2"/>
      <c r="O239" s="2"/>
      <c r="P239" s="2"/>
      <c r="Q239" s="2"/>
      <c r="R239" s="2"/>
      <c r="S239" s="2"/>
      <c r="V239" s="77"/>
      <c r="W239" s="77"/>
      <c r="X239" s="77"/>
      <c r="Y239" s="77"/>
      <c r="Z239" s="77"/>
      <c r="AA239" s="77"/>
      <c r="AB239" s="77"/>
      <c r="AC239" s="77"/>
      <c r="AD239" s="77"/>
      <c r="AF239" s="80"/>
      <c r="AG239" s="80"/>
      <c r="AH239" s="80"/>
      <c r="AI239" s="80"/>
      <c r="AJ239" s="80"/>
      <c r="AK239" s="80"/>
      <c r="AL239" s="80"/>
      <c r="AM239" s="80"/>
      <c r="AN239" s="80"/>
      <c r="AO239" s="80"/>
    </row>
    <row r="240" spans="1:41" x14ac:dyDescent="0.35">
      <c r="A240" s="47">
        <v>11</v>
      </c>
      <c r="B240" s="118">
        <v>46351</v>
      </c>
      <c r="C240" s="119">
        <v>1</v>
      </c>
      <c r="D240" s="119">
        <v>1.22664784</v>
      </c>
      <c r="E240" s="119">
        <v>1.6934594000000001</v>
      </c>
      <c r="F240" s="119">
        <v>1.22397384</v>
      </c>
      <c r="G240" s="119">
        <v>1.21520066</v>
      </c>
      <c r="H240" s="119">
        <v>1.2344792600000001</v>
      </c>
      <c r="I240" s="119">
        <v>1.49568122</v>
      </c>
      <c r="J240" s="119">
        <v>1.65568352</v>
      </c>
      <c r="K240" s="119">
        <v>1.8549925700000001</v>
      </c>
      <c r="L240" s="119">
        <v>1.9362896000000001</v>
      </c>
      <c r="M240" s="2"/>
      <c r="N240" s="2"/>
      <c r="O240" s="2"/>
      <c r="P240" s="2"/>
      <c r="Q240" s="2"/>
      <c r="R240" s="2"/>
      <c r="S240" s="2"/>
      <c r="V240" s="77"/>
      <c r="W240" s="77"/>
      <c r="X240" s="77"/>
      <c r="Y240" s="77"/>
      <c r="Z240" s="77"/>
      <c r="AA240" s="77"/>
      <c r="AB240" s="77"/>
      <c r="AC240" s="77"/>
      <c r="AD240" s="77"/>
      <c r="AF240" s="80"/>
      <c r="AG240" s="80"/>
      <c r="AH240" s="80"/>
      <c r="AI240" s="80"/>
      <c r="AJ240" s="80"/>
      <c r="AK240" s="80"/>
      <c r="AL240" s="80"/>
      <c r="AM240" s="80"/>
      <c r="AN240" s="80"/>
      <c r="AO240" s="80"/>
    </row>
    <row r="241" spans="1:41" x14ac:dyDescent="0.35">
      <c r="A241" s="47">
        <v>11</v>
      </c>
      <c r="B241" s="118">
        <v>46352</v>
      </c>
      <c r="C241" s="119">
        <v>1</v>
      </c>
      <c r="D241" s="119">
        <v>1.23578538</v>
      </c>
      <c r="E241" s="119">
        <v>1.71170011</v>
      </c>
      <c r="F241" s="119">
        <v>1.2124687999999999</v>
      </c>
      <c r="G241" s="119">
        <v>1.2119156499999999</v>
      </c>
      <c r="H241" s="119">
        <v>1.24064303</v>
      </c>
      <c r="I241" s="119">
        <v>1.5089947699999999</v>
      </c>
      <c r="J241" s="119">
        <v>1.6727652500000001</v>
      </c>
      <c r="K241" s="119">
        <v>1.8761311700000001</v>
      </c>
      <c r="L241" s="119">
        <v>1.9601288800000001</v>
      </c>
      <c r="M241" s="2"/>
      <c r="N241" s="2"/>
      <c r="O241" s="2"/>
      <c r="P241" s="2"/>
      <c r="Q241" s="2"/>
      <c r="R241" s="2"/>
      <c r="S241" s="2"/>
      <c r="V241" s="77"/>
      <c r="W241" s="77"/>
      <c r="X241" s="77"/>
      <c r="Y241" s="77"/>
      <c r="Z241" s="77"/>
      <c r="AA241" s="77"/>
      <c r="AB241" s="77"/>
      <c r="AC241" s="77"/>
      <c r="AD241" s="77"/>
      <c r="AF241" s="80"/>
      <c r="AG241" s="80"/>
      <c r="AH241" s="80"/>
      <c r="AI241" s="80"/>
      <c r="AJ241" s="80"/>
      <c r="AK241" s="80"/>
      <c r="AL241" s="80"/>
      <c r="AM241" s="80"/>
      <c r="AN241" s="80"/>
      <c r="AO241" s="80"/>
    </row>
    <row r="242" spans="1:41" x14ac:dyDescent="0.35">
      <c r="A242" s="47">
        <v>11</v>
      </c>
      <c r="B242" s="118">
        <v>46353</v>
      </c>
      <c r="C242" s="119">
        <v>1</v>
      </c>
      <c r="D242" s="119">
        <v>1.2454579100000001</v>
      </c>
      <c r="E242" s="119">
        <v>1.7315940299999999</v>
      </c>
      <c r="F242" s="119">
        <v>1.20096376</v>
      </c>
      <c r="G242" s="119">
        <v>1.20863064</v>
      </c>
      <c r="H242" s="119">
        <v>1.24684276</v>
      </c>
      <c r="I242" s="119">
        <v>1.5233499399999999</v>
      </c>
      <c r="J242" s="119">
        <v>1.69133741</v>
      </c>
      <c r="K242" s="119">
        <v>1.89926028</v>
      </c>
      <c r="L242" s="119">
        <v>1.98630274</v>
      </c>
      <c r="M242" s="2"/>
      <c r="N242" s="2"/>
      <c r="O242" s="2"/>
      <c r="P242" s="2"/>
      <c r="Q242" s="2"/>
      <c r="R242" s="2"/>
      <c r="S242" s="2"/>
      <c r="V242" s="77"/>
      <c r="W242" s="77"/>
      <c r="X242" s="77"/>
      <c r="Y242" s="77"/>
      <c r="Z242" s="77"/>
      <c r="AA242" s="77"/>
      <c r="AB242" s="77"/>
      <c r="AC242" s="77"/>
      <c r="AD242" s="77"/>
      <c r="AF242" s="80"/>
      <c r="AG242" s="80"/>
      <c r="AH242" s="80"/>
      <c r="AI242" s="80"/>
      <c r="AJ242" s="80"/>
      <c r="AK242" s="80"/>
      <c r="AL242" s="80"/>
      <c r="AM242" s="80"/>
      <c r="AN242" s="80"/>
      <c r="AO242" s="80"/>
    </row>
    <row r="243" spans="1:41" x14ac:dyDescent="0.35">
      <c r="A243" s="47">
        <v>11</v>
      </c>
      <c r="B243" s="118">
        <v>46354</v>
      </c>
      <c r="C243" s="119">
        <v>0</v>
      </c>
      <c r="D243" s="119">
        <v>1.3481441999999999</v>
      </c>
      <c r="E243" s="119">
        <v>1.7160255099999999</v>
      </c>
      <c r="F243" s="119">
        <v>0.41960234000000002</v>
      </c>
      <c r="G243" s="119">
        <v>0.71234892000000005</v>
      </c>
      <c r="H243" s="119">
        <v>0.86423781</v>
      </c>
      <c r="I243" s="119">
        <v>1.44918098</v>
      </c>
      <c r="J243" s="119">
        <v>1.59918772</v>
      </c>
      <c r="K243" s="119">
        <v>1.6947065299999999</v>
      </c>
      <c r="L243" s="119">
        <v>1.78462806</v>
      </c>
      <c r="M243" s="2"/>
      <c r="N243" s="2"/>
      <c r="O243" s="2"/>
      <c r="P243" s="2"/>
      <c r="Q243" s="2"/>
      <c r="R243" s="2"/>
      <c r="S243" s="2"/>
      <c r="V243" s="77"/>
      <c r="W243" s="77"/>
      <c r="X243" s="77"/>
      <c r="Y243" s="77"/>
      <c r="Z243" s="77"/>
      <c r="AA243" s="77"/>
      <c r="AB243" s="77"/>
      <c r="AC243" s="77"/>
      <c r="AD243" s="77"/>
      <c r="AF243" s="80"/>
      <c r="AG243" s="80"/>
      <c r="AH243" s="80"/>
      <c r="AI243" s="80"/>
      <c r="AJ243" s="80"/>
      <c r="AK243" s="80"/>
      <c r="AL243" s="80"/>
      <c r="AM243" s="80"/>
      <c r="AN243" s="80"/>
      <c r="AO243" s="80"/>
    </row>
    <row r="244" spans="1:41" x14ac:dyDescent="0.35">
      <c r="A244" s="47">
        <v>11</v>
      </c>
      <c r="B244" s="118">
        <v>46355</v>
      </c>
      <c r="C244" s="119">
        <v>0</v>
      </c>
      <c r="D244" s="119">
        <v>1.3573125100000001</v>
      </c>
      <c r="E244" s="119">
        <v>1.7325187099999999</v>
      </c>
      <c r="F244" s="119">
        <v>0.41353912999999998</v>
      </c>
      <c r="G244" s="119">
        <v>0.71013371000000003</v>
      </c>
      <c r="H244" s="119">
        <v>0.86872647999999997</v>
      </c>
      <c r="I244" s="119">
        <v>1.4609308299999999</v>
      </c>
      <c r="J244" s="119">
        <v>1.6142056600000001</v>
      </c>
      <c r="K244" s="119">
        <v>1.71228698</v>
      </c>
      <c r="L244" s="119">
        <v>1.8043917300000001</v>
      </c>
      <c r="M244" s="2"/>
      <c r="N244" s="2"/>
      <c r="O244" s="2"/>
      <c r="P244" s="2"/>
      <c r="Q244" s="2"/>
      <c r="R244" s="2"/>
      <c r="S244" s="2"/>
      <c r="V244" s="77"/>
      <c r="W244" s="77"/>
      <c r="X244" s="77"/>
      <c r="Y244" s="77"/>
      <c r="Z244" s="77"/>
      <c r="AA244" s="77"/>
      <c r="AB244" s="77"/>
      <c r="AC244" s="77"/>
      <c r="AD244" s="77"/>
      <c r="AF244" s="80"/>
      <c r="AG244" s="80"/>
      <c r="AH244" s="80"/>
      <c r="AI244" s="80"/>
      <c r="AJ244" s="80"/>
      <c r="AK244" s="80"/>
      <c r="AL244" s="80"/>
      <c r="AM244" s="80"/>
      <c r="AN244" s="80"/>
      <c r="AO244" s="80"/>
    </row>
    <row r="245" spans="1:41" x14ac:dyDescent="0.35">
      <c r="A245" s="47">
        <v>11</v>
      </c>
      <c r="B245" s="118">
        <v>46356</v>
      </c>
      <c r="C245" s="119">
        <v>1</v>
      </c>
      <c r="D245" s="119">
        <v>1.27266542</v>
      </c>
      <c r="E245" s="119">
        <v>1.78622364</v>
      </c>
      <c r="F245" s="119">
        <v>1.16644865</v>
      </c>
      <c r="G245" s="119">
        <v>1.1987756199999999</v>
      </c>
      <c r="H245" s="119">
        <v>1.26501975</v>
      </c>
      <c r="I245" s="119">
        <v>1.5631337000000001</v>
      </c>
      <c r="J245" s="119">
        <v>1.7424647</v>
      </c>
      <c r="K245" s="119">
        <v>1.96260927</v>
      </c>
      <c r="L245" s="119">
        <v>2.05779384</v>
      </c>
      <c r="M245" s="2"/>
      <c r="N245" s="2"/>
      <c r="O245" s="2"/>
      <c r="P245" s="2"/>
      <c r="Q245" s="2"/>
      <c r="R245" s="2"/>
      <c r="S245" s="2"/>
      <c r="V245" s="77"/>
      <c r="W245" s="77"/>
      <c r="X245" s="77"/>
      <c r="Y245" s="77"/>
      <c r="Z245" s="77"/>
      <c r="AA245" s="77"/>
      <c r="AB245" s="77"/>
      <c r="AC245" s="77"/>
      <c r="AD245" s="77"/>
      <c r="AF245" s="80"/>
      <c r="AG245" s="80"/>
      <c r="AH245" s="80"/>
      <c r="AI245" s="80"/>
      <c r="AJ245" s="80"/>
      <c r="AK245" s="80"/>
      <c r="AL245" s="80"/>
      <c r="AM245" s="80"/>
      <c r="AN245" s="80"/>
      <c r="AO245" s="80"/>
    </row>
    <row r="246" spans="1:41" x14ac:dyDescent="0.35">
      <c r="A246" s="47">
        <v>12</v>
      </c>
      <c r="B246" s="118">
        <v>46357</v>
      </c>
      <c r="C246" s="119">
        <v>1</v>
      </c>
      <c r="D246" s="119">
        <v>1.28168576</v>
      </c>
      <c r="E246" s="119">
        <v>1.80441148</v>
      </c>
      <c r="F246" s="119">
        <v>1.1549436099999999</v>
      </c>
      <c r="G246" s="119">
        <v>1.19549061</v>
      </c>
      <c r="H246" s="119">
        <v>1.2710039399999999</v>
      </c>
      <c r="I246" s="119">
        <v>1.5763576100000001</v>
      </c>
      <c r="J246" s="119">
        <v>1.75947907</v>
      </c>
      <c r="K246" s="119">
        <v>1.9837096999999999</v>
      </c>
      <c r="L246" s="119">
        <v>2.0816178500000002</v>
      </c>
      <c r="M246" s="2"/>
      <c r="N246" s="2"/>
      <c r="O246" s="2"/>
      <c r="P246" s="2"/>
      <c r="Q246" s="2"/>
      <c r="R246" s="2"/>
      <c r="S246" s="2"/>
      <c r="V246" s="77"/>
      <c r="W246" s="77"/>
      <c r="X246" s="77"/>
      <c r="Y246" s="77"/>
      <c r="Z246" s="77"/>
      <c r="AA246" s="77"/>
      <c r="AB246" s="77"/>
      <c r="AC246" s="77"/>
      <c r="AD246" s="77"/>
      <c r="AF246" s="80"/>
      <c r="AG246" s="80"/>
      <c r="AH246" s="80"/>
      <c r="AI246" s="80"/>
      <c r="AJ246" s="80"/>
      <c r="AK246" s="80"/>
      <c r="AL246" s="80"/>
      <c r="AM246" s="80"/>
      <c r="AN246" s="80"/>
      <c r="AO246" s="80"/>
    </row>
    <row r="247" spans="1:41" x14ac:dyDescent="0.35">
      <c r="A247" s="47">
        <v>12</v>
      </c>
      <c r="B247" s="118">
        <v>46358</v>
      </c>
      <c r="C247" s="119">
        <v>1</v>
      </c>
      <c r="D247" s="119">
        <v>1.2901235900000001</v>
      </c>
      <c r="E247" s="119">
        <v>1.8209246800000001</v>
      </c>
      <c r="F247" s="119">
        <v>1.14343858</v>
      </c>
      <c r="G247" s="119">
        <v>1.1922056000000001</v>
      </c>
      <c r="H247" s="119">
        <v>1.27687931</v>
      </c>
      <c r="I247" s="119">
        <v>1.58850354</v>
      </c>
      <c r="J247" s="119">
        <v>1.7749756800000001</v>
      </c>
      <c r="K247" s="119">
        <v>2.0028041399999998</v>
      </c>
      <c r="L247" s="119">
        <v>2.1031010800000001</v>
      </c>
      <c r="M247" s="2"/>
      <c r="N247" s="2"/>
      <c r="O247" s="2"/>
      <c r="P247" s="2"/>
      <c r="Q247" s="2"/>
      <c r="R247" s="2"/>
      <c r="S247" s="2"/>
      <c r="V247" s="77"/>
      <c r="W247" s="77"/>
      <c r="X247" s="77"/>
      <c r="Y247" s="77"/>
      <c r="Z247" s="77"/>
      <c r="AA247" s="77"/>
      <c r="AB247" s="77"/>
      <c r="AC247" s="77"/>
      <c r="AD247" s="77"/>
      <c r="AF247" s="80"/>
      <c r="AG247" s="80"/>
      <c r="AH247" s="80"/>
      <c r="AI247" s="80"/>
      <c r="AJ247" s="80"/>
      <c r="AK247" s="80"/>
      <c r="AL247" s="80"/>
      <c r="AM247" s="80"/>
      <c r="AN247" s="80"/>
      <c r="AO247" s="80"/>
    </row>
    <row r="248" spans="1:41" x14ac:dyDescent="0.35">
      <c r="A248" s="47">
        <v>12</v>
      </c>
      <c r="B248" s="118">
        <v>46359</v>
      </c>
      <c r="C248" s="119">
        <v>1</v>
      </c>
      <c r="D248" s="119">
        <v>1.2985351700000001</v>
      </c>
      <c r="E248" s="119">
        <v>1.83742604</v>
      </c>
      <c r="F248" s="119">
        <v>1.1319335399999999</v>
      </c>
      <c r="G248" s="119">
        <v>1.1889205899999999</v>
      </c>
      <c r="H248" s="119">
        <v>1.28271446</v>
      </c>
      <c r="I248" s="119">
        <v>1.6006293899999999</v>
      </c>
      <c r="J248" s="119">
        <v>1.7904571899999999</v>
      </c>
      <c r="K248" s="119">
        <v>2.0218900299999998</v>
      </c>
      <c r="L248" s="119">
        <v>2.1245808899999998</v>
      </c>
      <c r="M248" s="2"/>
      <c r="N248" s="2"/>
      <c r="O248" s="2"/>
      <c r="P248" s="2"/>
      <c r="Q248" s="2"/>
      <c r="R248" s="2"/>
      <c r="S248" s="2"/>
      <c r="V248" s="77"/>
      <c r="W248" s="77"/>
      <c r="X248" s="77"/>
      <c r="Y248" s="77"/>
      <c r="Z248" s="77"/>
      <c r="AA248" s="77"/>
      <c r="AB248" s="77"/>
      <c r="AC248" s="77"/>
      <c r="AD248" s="77"/>
      <c r="AF248" s="80"/>
      <c r="AG248" s="80"/>
      <c r="AH248" s="80"/>
      <c r="AI248" s="80"/>
      <c r="AJ248" s="80"/>
      <c r="AK248" s="80"/>
      <c r="AL248" s="80"/>
      <c r="AM248" s="80"/>
      <c r="AN248" s="80"/>
      <c r="AO248" s="80"/>
    </row>
    <row r="249" spans="1:41" x14ac:dyDescent="0.35">
      <c r="A249" s="47">
        <v>12</v>
      </c>
      <c r="B249" s="118">
        <v>46360</v>
      </c>
      <c r="C249" s="119">
        <v>1</v>
      </c>
      <c r="D249" s="119">
        <v>1.3063628899999999</v>
      </c>
      <c r="E249" s="119">
        <v>1.85225215</v>
      </c>
      <c r="F249" s="119">
        <v>1.1204285</v>
      </c>
      <c r="G249" s="119">
        <v>1.18563559</v>
      </c>
      <c r="H249" s="119">
        <v>1.2884387399999999</v>
      </c>
      <c r="I249" s="119">
        <v>1.61167624</v>
      </c>
      <c r="J249" s="119">
        <v>1.8044201900000001</v>
      </c>
      <c r="K249" s="119">
        <v>2.03896948</v>
      </c>
      <c r="L249" s="119">
        <v>2.1437197499999998</v>
      </c>
      <c r="M249" s="2"/>
      <c r="N249" s="2"/>
      <c r="O249" s="2"/>
      <c r="P249" s="2"/>
      <c r="Q249" s="2"/>
      <c r="R249" s="2"/>
      <c r="S249" s="2"/>
      <c r="V249" s="77"/>
      <c r="W249" s="77"/>
      <c r="X249" s="77"/>
      <c r="Y249" s="77"/>
      <c r="Z249" s="77"/>
      <c r="AA249" s="77"/>
      <c r="AB249" s="77"/>
      <c r="AC249" s="77"/>
      <c r="AD249" s="77"/>
      <c r="AF249" s="80"/>
      <c r="AG249" s="80"/>
      <c r="AH249" s="80"/>
      <c r="AI249" s="80"/>
      <c r="AJ249" s="80"/>
      <c r="AK249" s="80"/>
      <c r="AL249" s="80"/>
      <c r="AM249" s="80"/>
      <c r="AN249" s="80"/>
      <c r="AO249" s="80"/>
    </row>
    <row r="250" spans="1:41" x14ac:dyDescent="0.35">
      <c r="A250" s="47">
        <v>12</v>
      </c>
      <c r="B250" s="118">
        <v>46361</v>
      </c>
      <c r="C250" s="119">
        <v>0</v>
      </c>
      <c r="D250" s="119">
        <v>1.4118287700000001</v>
      </c>
      <c r="E250" s="119">
        <v>1.8312656599999999</v>
      </c>
      <c r="F250" s="119">
        <v>0.37715984000000002</v>
      </c>
      <c r="G250" s="119">
        <v>0.69684245</v>
      </c>
      <c r="H250" s="119">
        <v>0.89528441999999997</v>
      </c>
      <c r="I250" s="119">
        <v>1.53111931</v>
      </c>
      <c r="J250" s="119">
        <v>1.70403495</v>
      </c>
      <c r="K250" s="119">
        <v>1.81760232</v>
      </c>
      <c r="L250" s="119">
        <v>1.92290231</v>
      </c>
      <c r="M250" s="2"/>
      <c r="N250" s="2"/>
      <c r="O250" s="2"/>
      <c r="P250" s="2"/>
      <c r="Q250" s="2"/>
      <c r="R250" s="2"/>
      <c r="S250" s="2"/>
      <c r="V250" s="77"/>
      <c r="W250" s="77"/>
      <c r="X250" s="77"/>
      <c r="Y250" s="77"/>
      <c r="Z250" s="77"/>
      <c r="AA250" s="77"/>
      <c r="AB250" s="77"/>
      <c r="AC250" s="77"/>
      <c r="AD250" s="77"/>
      <c r="AF250" s="80"/>
      <c r="AG250" s="80"/>
      <c r="AH250" s="80"/>
      <c r="AI250" s="80"/>
      <c r="AJ250" s="80"/>
      <c r="AK250" s="80"/>
      <c r="AL250" s="80"/>
      <c r="AM250" s="80"/>
      <c r="AN250" s="80"/>
      <c r="AO250" s="80"/>
    </row>
    <row r="251" spans="1:41" x14ac:dyDescent="0.35">
      <c r="A251" s="47">
        <v>12</v>
      </c>
      <c r="B251" s="118">
        <v>46362</v>
      </c>
      <c r="C251" s="119">
        <v>0</v>
      </c>
      <c r="D251" s="119">
        <v>1.4208267400000001</v>
      </c>
      <c r="E251" s="119">
        <v>1.8476856100000001</v>
      </c>
      <c r="F251" s="119">
        <v>0.37109662999999998</v>
      </c>
      <c r="G251" s="119">
        <v>0.69462723999999998</v>
      </c>
      <c r="H251" s="119">
        <v>0.89964398999999995</v>
      </c>
      <c r="I251" s="119">
        <v>1.5427619699999999</v>
      </c>
      <c r="J251" s="119">
        <v>1.7189568500000001</v>
      </c>
      <c r="K251" s="119">
        <v>1.8351250100000001</v>
      </c>
      <c r="L251" s="119">
        <v>1.9426413300000001</v>
      </c>
      <c r="M251" s="2"/>
      <c r="N251" s="2"/>
      <c r="O251" s="2"/>
      <c r="P251" s="2"/>
      <c r="Q251" s="2"/>
      <c r="R251" s="2"/>
      <c r="S251" s="2"/>
      <c r="V251" s="77"/>
      <c r="W251" s="77"/>
      <c r="X251" s="77"/>
      <c r="Y251" s="77"/>
      <c r="Z251" s="77"/>
      <c r="AA251" s="77"/>
      <c r="AB251" s="77"/>
      <c r="AC251" s="77"/>
      <c r="AD251" s="77"/>
      <c r="AF251" s="80"/>
      <c r="AG251" s="80"/>
      <c r="AH251" s="80"/>
      <c r="AI251" s="80"/>
      <c r="AJ251" s="80"/>
      <c r="AK251" s="80"/>
      <c r="AL251" s="80"/>
      <c r="AM251" s="80"/>
      <c r="AN251" s="80"/>
      <c r="AO251" s="80"/>
    </row>
    <row r="252" spans="1:41" x14ac:dyDescent="0.35">
      <c r="A252" s="47">
        <v>12</v>
      </c>
      <c r="B252" s="118">
        <v>46363</v>
      </c>
      <c r="C252" s="119">
        <v>1</v>
      </c>
      <c r="D252" s="119">
        <v>1.33023504</v>
      </c>
      <c r="E252" s="119">
        <v>1.8983178199999999</v>
      </c>
      <c r="F252" s="119">
        <v>1.08591339</v>
      </c>
      <c r="G252" s="119">
        <v>1.17578056</v>
      </c>
      <c r="H252" s="119">
        <v>1.3054238499999999</v>
      </c>
      <c r="I252" s="119">
        <v>1.6457467299999999</v>
      </c>
      <c r="J252" s="119">
        <v>1.8477156699999999</v>
      </c>
      <c r="K252" s="119">
        <v>2.09215083</v>
      </c>
      <c r="L252" s="119">
        <v>2.2034519000000001</v>
      </c>
      <c r="M252" s="2"/>
      <c r="N252" s="2"/>
      <c r="O252" s="2"/>
      <c r="P252" s="2"/>
      <c r="Q252" s="2"/>
      <c r="R252" s="2"/>
      <c r="S252" s="2"/>
      <c r="V252" s="77"/>
      <c r="W252" s="77"/>
      <c r="X252" s="77"/>
      <c r="Y252" s="77"/>
      <c r="Z252" s="77"/>
      <c r="AA252" s="77"/>
      <c r="AB252" s="77"/>
      <c r="AC252" s="77"/>
      <c r="AD252" s="77"/>
      <c r="AF252" s="80"/>
      <c r="AG252" s="80"/>
      <c r="AH252" s="80"/>
      <c r="AI252" s="80"/>
      <c r="AJ252" s="80"/>
      <c r="AK252" s="80"/>
      <c r="AL252" s="80"/>
      <c r="AM252" s="80"/>
      <c r="AN252" s="80"/>
      <c r="AO252" s="80"/>
    </row>
    <row r="253" spans="1:41" x14ac:dyDescent="0.35">
      <c r="A253" s="47">
        <v>12</v>
      </c>
      <c r="B253" s="118">
        <v>46364</v>
      </c>
      <c r="C253" s="119">
        <v>1</v>
      </c>
      <c r="D253" s="119">
        <v>1.33739177</v>
      </c>
      <c r="E253" s="119">
        <v>1.91142937</v>
      </c>
      <c r="F253" s="119">
        <v>1.0744083600000001</v>
      </c>
      <c r="G253" s="119">
        <v>1.1724955500000001</v>
      </c>
      <c r="H253" s="119">
        <v>1.31090376</v>
      </c>
      <c r="I253" s="119">
        <v>1.6556479399999999</v>
      </c>
      <c r="J253" s="119">
        <v>1.8601100500000001</v>
      </c>
      <c r="K253" s="119">
        <v>2.1071954800000001</v>
      </c>
      <c r="L253" s="119">
        <v>2.22023846</v>
      </c>
      <c r="M253" s="2"/>
      <c r="N253" s="2"/>
      <c r="O253" s="2"/>
      <c r="P253" s="2"/>
      <c r="Q253" s="2"/>
      <c r="R253" s="2"/>
      <c r="S253" s="2"/>
      <c r="V253" s="77"/>
      <c r="W253" s="77"/>
      <c r="X253" s="77"/>
      <c r="Y253" s="77"/>
      <c r="Z253" s="77"/>
      <c r="AA253" s="77"/>
      <c r="AB253" s="77"/>
      <c r="AC253" s="77"/>
      <c r="AD253" s="77"/>
      <c r="AF253" s="80"/>
      <c r="AG253" s="80"/>
      <c r="AH253" s="80"/>
      <c r="AI253" s="80"/>
      <c r="AJ253" s="80"/>
      <c r="AK253" s="80"/>
      <c r="AL253" s="80"/>
      <c r="AM253" s="80"/>
      <c r="AN253" s="80"/>
      <c r="AO253" s="80"/>
    </row>
    <row r="254" spans="1:41" x14ac:dyDescent="0.35">
      <c r="A254" s="47">
        <v>12</v>
      </c>
      <c r="B254" s="118">
        <v>46365</v>
      </c>
      <c r="C254" s="119">
        <v>1</v>
      </c>
      <c r="D254" s="119">
        <v>1.34451846</v>
      </c>
      <c r="E254" s="119">
        <v>1.9245273700000001</v>
      </c>
      <c r="F254" s="119">
        <v>1.06290332</v>
      </c>
      <c r="G254" s="119">
        <v>1.1692105399999999</v>
      </c>
      <c r="H254" s="119">
        <v>1.3163376200000001</v>
      </c>
      <c r="I254" s="119">
        <v>1.66552615</v>
      </c>
      <c r="J254" s="119">
        <v>1.8724871599999999</v>
      </c>
      <c r="K254" s="119">
        <v>2.1222303500000002</v>
      </c>
      <c r="L254" s="119">
        <v>2.2370211000000002</v>
      </c>
      <c r="M254" s="2"/>
      <c r="N254" s="2"/>
      <c r="O254" s="2"/>
      <c r="P254" s="2"/>
      <c r="Q254" s="2"/>
      <c r="R254" s="2"/>
      <c r="S254" s="2"/>
      <c r="V254" s="77"/>
      <c r="W254" s="77"/>
      <c r="X254" s="77"/>
      <c r="Y254" s="77"/>
      <c r="Z254" s="77"/>
      <c r="AA254" s="77"/>
      <c r="AB254" s="77"/>
      <c r="AC254" s="77"/>
      <c r="AD254" s="77"/>
      <c r="AF254" s="80"/>
      <c r="AG254" s="80"/>
      <c r="AH254" s="80"/>
      <c r="AI254" s="80"/>
      <c r="AJ254" s="80"/>
      <c r="AK254" s="80"/>
      <c r="AL254" s="80"/>
      <c r="AM254" s="80"/>
      <c r="AN254" s="80"/>
      <c r="AO254" s="80"/>
    </row>
    <row r="255" spans="1:41" x14ac:dyDescent="0.35">
      <c r="A255" s="47">
        <v>12</v>
      </c>
      <c r="B255" s="118">
        <v>46366</v>
      </c>
      <c r="C255" s="119">
        <v>1</v>
      </c>
      <c r="D255" s="119">
        <v>1.35161449</v>
      </c>
      <c r="E255" s="119">
        <v>1.93761154</v>
      </c>
      <c r="F255" s="119">
        <v>1.0513982799999999</v>
      </c>
      <c r="G255" s="119">
        <v>1.1659255399999999</v>
      </c>
      <c r="H255" s="119">
        <v>1.3217245200000001</v>
      </c>
      <c r="I255" s="119">
        <v>1.6753809200000001</v>
      </c>
      <c r="J255" s="119">
        <v>1.8848466500000001</v>
      </c>
      <c r="K255" s="119">
        <v>2.13725524</v>
      </c>
      <c r="L255" s="119">
        <v>2.2537997500000002</v>
      </c>
      <c r="M255" s="2"/>
      <c r="N255" s="2"/>
      <c r="O255" s="2"/>
      <c r="P255" s="2"/>
      <c r="Q255" s="2"/>
      <c r="R255" s="2"/>
      <c r="S255" s="2"/>
      <c r="V255" s="77"/>
      <c r="W255" s="77"/>
      <c r="X255" s="77"/>
      <c r="Y255" s="77"/>
      <c r="Z255" s="77"/>
      <c r="AA255" s="77"/>
      <c r="AB255" s="77"/>
      <c r="AC255" s="77"/>
      <c r="AD255" s="77"/>
      <c r="AF255" s="80"/>
      <c r="AG255" s="80"/>
      <c r="AH255" s="80"/>
      <c r="AI255" s="80"/>
      <c r="AJ255" s="80"/>
      <c r="AK255" s="80"/>
      <c r="AL255" s="80"/>
      <c r="AM255" s="80"/>
      <c r="AN255" s="80"/>
      <c r="AO255" s="80"/>
    </row>
    <row r="256" spans="1:41" x14ac:dyDescent="0.35">
      <c r="A256" s="47">
        <v>12</v>
      </c>
      <c r="B256" s="118">
        <v>46367</v>
      </c>
      <c r="C256" s="119">
        <v>1</v>
      </c>
      <c r="D256" s="119">
        <v>1.3586792999999999</v>
      </c>
      <c r="E256" s="119">
        <v>1.9506816199999999</v>
      </c>
      <c r="F256" s="119">
        <v>1.03989325</v>
      </c>
      <c r="G256" s="119">
        <v>1.16264053</v>
      </c>
      <c r="H256" s="119">
        <v>1.32706356</v>
      </c>
      <c r="I256" s="119">
        <v>1.68521181</v>
      </c>
      <c r="J256" s="119">
        <v>1.8971881799999999</v>
      </c>
      <c r="K256" s="119">
        <v>2.1522699599999999</v>
      </c>
      <c r="L256" s="119">
        <v>2.2705743300000001</v>
      </c>
      <c r="M256" s="2"/>
      <c r="N256" s="2"/>
      <c r="O256" s="2"/>
      <c r="P256" s="2"/>
      <c r="Q256" s="2"/>
      <c r="R256" s="2"/>
      <c r="S256" s="2"/>
      <c r="V256" s="77"/>
      <c r="W256" s="77"/>
      <c r="X256" s="77"/>
      <c r="Y256" s="77"/>
      <c r="Z256" s="77"/>
      <c r="AA256" s="77"/>
      <c r="AB256" s="77"/>
      <c r="AC256" s="77"/>
      <c r="AD256" s="77"/>
      <c r="AF256" s="80"/>
      <c r="AG256" s="80"/>
      <c r="AH256" s="80"/>
      <c r="AI256" s="80"/>
      <c r="AJ256" s="80"/>
      <c r="AK256" s="80"/>
      <c r="AL256" s="80"/>
      <c r="AM256" s="80"/>
      <c r="AN256" s="80"/>
      <c r="AO256" s="80"/>
    </row>
    <row r="257" spans="1:41" x14ac:dyDescent="0.35">
      <c r="A257" s="47">
        <v>12</v>
      </c>
      <c r="B257" s="118">
        <v>46368</v>
      </c>
      <c r="C257" s="119">
        <v>0</v>
      </c>
      <c r="D257" s="119">
        <v>1.4669966400000001</v>
      </c>
      <c r="E257" s="119">
        <v>1.9275037500000001</v>
      </c>
      <c r="F257" s="119">
        <v>0.33471735000000002</v>
      </c>
      <c r="G257" s="119">
        <v>0.68133597999999995</v>
      </c>
      <c r="H257" s="119">
        <v>0.92288274999999997</v>
      </c>
      <c r="I257" s="119">
        <v>1.6003887299999999</v>
      </c>
      <c r="J257" s="119">
        <v>1.7920430300000001</v>
      </c>
      <c r="K257" s="119">
        <v>1.9199225900000001</v>
      </c>
      <c r="L257" s="119">
        <v>2.0374099499999998</v>
      </c>
      <c r="M257" s="2"/>
      <c r="N257" s="2"/>
      <c r="O257" s="2"/>
      <c r="P257" s="2"/>
      <c r="Q257" s="2"/>
      <c r="R257" s="2"/>
      <c r="S257" s="2"/>
      <c r="V257" s="77"/>
      <c r="W257" s="77"/>
      <c r="X257" s="77"/>
      <c r="Y257" s="77"/>
      <c r="Z257" s="77"/>
      <c r="AA257" s="77"/>
      <c r="AB257" s="77"/>
      <c r="AC257" s="77"/>
      <c r="AD257" s="77"/>
      <c r="AF257" s="80"/>
      <c r="AG257" s="80"/>
      <c r="AH257" s="80"/>
      <c r="AI257" s="80"/>
      <c r="AJ257" s="80"/>
      <c r="AK257" s="80"/>
      <c r="AL257" s="80"/>
      <c r="AM257" s="80"/>
      <c r="AN257" s="80"/>
      <c r="AO257" s="80"/>
    </row>
    <row r="258" spans="1:41" x14ac:dyDescent="0.35">
      <c r="A258" s="47">
        <v>12</v>
      </c>
      <c r="B258" s="118">
        <v>46369</v>
      </c>
      <c r="C258" s="119">
        <v>0</v>
      </c>
      <c r="D258" s="119">
        <v>1.4738220799999999</v>
      </c>
      <c r="E258" s="119">
        <v>1.9388059200000001</v>
      </c>
      <c r="F258" s="119">
        <v>0.32865412999999999</v>
      </c>
      <c r="G258" s="119">
        <v>0.67912077999999998</v>
      </c>
      <c r="H258" s="119">
        <v>0.92641572999999999</v>
      </c>
      <c r="I258" s="119">
        <v>1.6086707600000001</v>
      </c>
      <c r="J258" s="119">
        <v>1.8024571199999999</v>
      </c>
      <c r="K258" s="119">
        <v>1.9318846999999999</v>
      </c>
      <c r="L258" s="119">
        <v>2.0506888999999999</v>
      </c>
      <c r="M258" s="2"/>
      <c r="N258" s="2"/>
      <c r="O258" s="2"/>
      <c r="P258" s="2"/>
      <c r="Q258" s="2"/>
      <c r="R258" s="2"/>
      <c r="S258" s="2"/>
      <c r="V258" s="77"/>
      <c r="W258" s="77"/>
      <c r="X258" s="77"/>
      <c r="Y258" s="77"/>
      <c r="Z258" s="77"/>
      <c r="AA258" s="77"/>
      <c r="AB258" s="77"/>
      <c r="AC258" s="77"/>
      <c r="AD258" s="77"/>
      <c r="AF258" s="80"/>
      <c r="AG258" s="80"/>
      <c r="AH258" s="80"/>
      <c r="AI258" s="80"/>
      <c r="AJ258" s="80"/>
      <c r="AK258" s="80"/>
      <c r="AL258" s="80"/>
      <c r="AM258" s="80"/>
      <c r="AN258" s="80"/>
      <c r="AO258" s="80"/>
    </row>
    <row r="259" spans="1:41" x14ac:dyDescent="0.35">
      <c r="A259" s="47">
        <v>12</v>
      </c>
      <c r="B259" s="118">
        <v>46370</v>
      </c>
      <c r="C259" s="119">
        <v>1</v>
      </c>
      <c r="D259" s="119">
        <v>1.37856668</v>
      </c>
      <c r="E259" s="119">
        <v>1.9864785199999999</v>
      </c>
      <c r="F259" s="119">
        <v>1.0053781399999999</v>
      </c>
      <c r="G259" s="119">
        <v>1.1527855</v>
      </c>
      <c r="H259" s="119">
        <v>1.3426454699999999</v>
      </c>
      <c r="I259" s="119">
        <v>1.71243988</v>
      </c>
      <c r="J259" s="119">
        <v>1.9310956500000001</v>
      </c>
      <c r="K259" s="119">
        <v>2.1932558800000002</v>
      </c>
      <c r="L259" s="119">
        <v>2.3161980299999998</v>
      </c>
      <c r="M259" s="2"/>
      <c r="N259" s="2"/>
      <c r="O259" s="2"/>
      <c r="P259" s="2"/>
      <c r="Q259" s="2"/>
      <c r="R259" s="2"/>
      <c r="S259" s="2"/>
      <c r="V259" s="77"/>
      <c r="W259" s="77"/>
      <c r="X259" s="77"/>
      <c r="Y259" s="77"/>
      <c r="Z259" s="77"/>
      <c r="AA259" s="77"/>
      <c r="AB259" s="77"/>
      <c r="AC259" s="77"/>
      <c r="AD259" s="77"/>
      <c r="AF259" s="80"/>
      <c r="AG259" s="80"/>
      <c r="AH259" s="80"/>
      <c r="AI259" s="80"/>
      <c r="AJ259" s="80"/>
      <c r="AK259" s="80"/>
      <c r="AL259" s="80"/>
      <c r="AM259" s="80"/>
      <c r="AN259" s="80"/>
      <c r="AO259" s="80"/>
    </row>
    <row r="260" spans="1:41" x14ac:dyDescent="0.35">
      <c r="A260" s="47">
        <v>12</v>
      </c>
      <c r="B260" s="118">
        <v>46371</v>
      </c>
      <c r="C260" s="119">
        <v>1</v>
      </c>
      <c r="D260" s="119">
        <v>1.38494388</v>
      </c>
      <c r="E260" s="119">
        <v>1.99782656</v>
      </c>
      <c r="F260" s="119">
        <v>0.99387309999999995</v>
      </c>
      <c r="G260" s="119">
        <v>1.1495004900000001</v>
      </c>
      <c r="H260" s="119">
        <v>1.3477146799999999</v>
      </c>
      <c r="I260" s="119">
        <v>1.7211124</v>
      </c>
      <c r="J260" s="119">
        <v>1.9418590200000001</v>
      </c>
      <c r="K260" s="119">
        <v>2.20623038</v>
      </c>
      <c r="L260" s="119">
        <v>2.3306181399999999</v>
      </c>
      <c r="M260" s="2"/>
      <c r="N260" s="2"/>
      <c r="O260" s="2"/>
      <c r="P260" s="2"/>
      <c r="Q260" s="2"/>
      <c r="R260" s="2"/>
      <c r="S260" s="2"/>
      <c r="V260" s="77"/>
      <c r="W260" s="77"/>
      <c r="X260" s="77"/>
      <c r="Y260" s="77"/>
      <c r="Z260" s="77"/>
      <c r="AA260" s="77"/>
      <c r="AB260" s="77"/>
      <c r="AC260" s="77"/>
      <c r="AD260" s="77"/>
      <c r="AF260" s="80"/>
      <c r="AG260" s="80"/>
      <c r="AH260" s="80"/>
      <c r="AI260" s="80"/>
      <c r="AJ260" s="80"/>
      <c r="AK260" s="80"/>
      <c r="AL260" s="80"/>
      <c r="AM260" s="80"/>
      <c r="AN260" s="80"/>
      <c r="AO260" s="80"/>
    </row>
    <row r="261" spans="1:41" x14ac:dyDescent="0.35">
      <c r="A261" s="47">
        <v>12</v>
      </c>
      <c r="B261" s="118">
        <v>46372</v>
      </c>
      <c r="C261" s="119">
        <v>1</v>
      </c>
      <c r="D261" s="119">
        <v>1.39128702</v>
      </c>
      <c r="E261" s="119">
        <v>2.0091592199999999</v>
      </c>
      <c r="F261" s="119">
        <v>0.98762720999999998</v>
      </c>
      <c r="G261" s="119">
        <v>1.15354059</v>
      </c>
      <c r="H261" s="119">
        <v>1.3527316899999999</v>
      </c>
      <c r="I261" s="119">
        <v>1.7297588699999999</v>
      </c>
      <c r="J261" s="119">
        <v>1.9526028099999999</v>
      </c>
      <c r="K261" s="119">
        <v>2.2191937899999998</v>
      </c>
      <c r="L261" s="119">
        <v>2.3450338199999998</v>
      </c>
      <c r="M261" s="2"/>
      <c r="N261" s="2"/>
      <c r="O261" s="2"/>
      <c r="P261" s="2"/>
      <c r="Q261" s="2"/>
      <c r="R261" s="2"/>
      <c r="S261" s="2"/>
      <c r="V261" s="77"/>
      <c r="W261" s="77"/>
      <c r="X261" s="77"/>
      <c r="Y261" s="77"/>
      <c r="Z261" s="77"/>
      <c r="AA261" s="77"/>
      <c r="AB261" s="77"/>
      <c r="AC261" s="77"/>
      <c r="AD261" s="77"/>
      <c r="AF261" s="80"/>
      <c r="AG261" s="80"/>
      <c r="AH261" s="80"/>
      <c r="AI261" s="80"/>
      <c r="AJ261" s="80"/>
      <c r="AK261" s="80"/>
      <c r="AL261" s="80"/>
      <c r="AM261" s="80"/>
      <c r="AN261" s="80"/>
      <c r="AO261" s="80"/>
    </row>
    <row r="262" spans="1:41" x14ac:dyDescent="0.35">
      <c r="A262" s="47">
        <v>12</v>
      </c>
      <c r="B262" s="118">
        <v>46373</v>
      </c>
      <c r="C262" s="119">
        <v>1</v>
      </c>
      <c r="D262" s="119">
        <v>1.3970385999999999</v>
      </c>
      <c r="E262" s="119">
        <v>2.01881317</v>
      </c>
      <c r="F262" s="119">
        <v>0.98138133000000005</v>
      </c>
      <c r="G262" s="119">
        <v>1.1575806799999999</v>
      </c>
      <c r="H262" s="119">
        <v>1.35762603</v>
      </c>
      <c r="I262" s="119">
        <v>1.73732044</v>
      </c>
      <c r="J262" s="119">
        <v>1.96182364</v>
      </c>
      <c r="K262" s="119">
        <v>2.23014826</v>
      </c>
      <c r="L262" s="119">
        <v>2.3571075399999999</v>
      </c>
      <c r="M262" s="2"/>
      <c r="N262" s="2"/>
      <c r="O262" s="2"/>
      <c r="P262" s="2"/>
      <c r="Q262" s="2"/>
      <c r="R262" s="2"/>
      <c r="S262" s="2"/>
      <c r="V262" s="77"/>
      <c r="W262" s="77"/>
      <c r="X262" s="77"/>
      <c r="Y262" s="77"/>
      <c r="Z262" s="77"/>
      <c r="AA262" s="77"/>
      <c r="AB262" s="77"/>
      <c r="AC262" s="77"/>
      <c r="AD262" s="77"/>
      <c r="AF262" s="80"/>
      <c r="AG262" s="80"/>
      <c r="AH262" s="80"/>
      <c r="AI262" s="80"/>
      <c r="AJ262" s="80"/>
      <c r="AK262" s="80"/>
      <c r="AL262" s="80"/>
      <c r="AM262" s="80"/>
      <c r="AN262" s="80"/>
      <c r="AO262" s="80"/>
    </row>
    <row r="263" spans="1:41" x14ac:dyDescent="0.35">
      <c r="A263" s="47">
        <v>12</v>
      </c>
      <c r="B263" s="118">
        <v>46374</v>
      </c>
      <c r="C263" s="119">
        <v>1</v>
      </c>
      <c r="D263" s="119">
        <v>1.4027550099999999</v>
      </c>
      <c r="E263" s="119">
        <v>2.0284512399999999</v>
      </c>
      <c r="F263" s="119">
        <v>0.97513543999999996</v>
      </c>
      <c r="G263" s="119">
        <v>1.1616207700000001</v>
      </c>
      <c r="H263" s="119">
        <v>1.3624664799999999</v>
      </c>
      <c r="I263" s="119">
        <v>1.74485511</v>
      </c>
      <c r="J263" s="119">
        <v>1.9710242600000001</v>
      </c>
      <c r="K263" s="119">
        <v>2.24109128</v>
      </c>
      <c r="L263" s="119">
        <v>2.3691766900000002</v>
      </c>
      <c r="M263" s="2"/>
      <c r="N263" s="2"/>
      <c r="O263" s="2"/>
      <c r="P263" s="2"/>
      <c r="Q263" s="2"/>
      <c r="R263" s="2"/>
      <c r="S263" s="2"/>
      <c r="V263" s="77"/>
      <c r="W263" s="77"/>
      <c r="X263" s="77"/>
      <c r="Y263" s="77"/>
      <c r="Z263" s="77"/>
      <c r="AA263" s="77"/>
      <c r="AB263" s="77"/>
      <c r="AC263" s="77"/>
      <c r="AD263" s="77"/>
      <c r="AF263" s="80"/>
      <c r="AG263" s="80"/>
      <c r="AH263" s="80"/>
      <c r="AI263" s="80"/>
      <c r="AJ263" s="80"/>
      <c r="AK263" s="80"/>
      <c r="AL263" s="80"/>
      <c r="AM263" s="80"/>
      <c r="AN263" s="80"/>
      <c r="AO263" s="80"/>
    </row>
    <row r="264" spans="1:41" x14ac:dyDescent="0.35">
      <c r="A264" s="47">
        <v>12</v>
      </c>
      <c r="B264" s="118">
        <v>46375</v>
      </c>
      <c r="C264" s="119">
        <v>0</v>
      </c>
      <c r="D264" s="119">
        <v>1.51214103</v>
      </c>
      <c r="E264" s="119">
        <v>2.0013028099999999</v>
      </c>
      <c r="F264" s="119">
        <v>0.21155273999999999</v>
      </c>
      <c r="G264" s="119">
        <v>0.53578208999999999</v>
      </c>
      <c r="H264" s="119">
        <v>0.94643748000000005</v>
      </c>
      <c r="I264" s="119">
        <v>1.6547120799999999</v>
      </c>
      <c r="J264" s="119">
        <v>1.86017382</v>
      </c>
      <c r="K264" s="119">
        <v>1.9979404700000001</v>
      </c>
      <c r="L264" s="119">
        <v>2.12383582</v>
      </c>
      <c r="M264" s="2"/>
      <c r="N264" s="2"/>
      <c r="O264" s="2"/>
      <c r="P264" s="2"/>
      <c r="Q264" s="2"/>
      <c r="R264" s="2"/>
      <c r="S264" s="2"/>
      <c r="V264" s="77"/>
      <c r="W264" s="77"/>
      <c r="X264" s="77"/>
      <c r="Y264" s="77"/>
      <c r="Z264" s="77"/>
      <c r="AA264" s="77"/>
      <c r="AB264" s="77"/>
      <c r="AC264" s="77"/>
      <c r="AD264" s="77"/>
      <c r="AF264" s="80"/>
      <c r="AG264" s="80"/>
      <c r="AH264" s="80"/>
      <c r="AI264" s="80"/>
      <c r="AJ264" s="80"/>
      <c r="AK264" s="80"/>
      <c r="AL264" s="80"/>
      <c r="AM264" s="80"/>
      <c r="AN264" s="80"/>
      <c r="AO264" s="80"/>
    </row>
    <row r="265" spans="1:41" x14ac:dyDescent="0.35">
      <c r="A265" s="47">
        <v>12</v>
      </c>
      <c r="B265" s="118">
        <v>46376</v>
      </c>
      <c r="C265" s="119">
        <v>0</v>
      </c>
      <c r="D265" s="119">
        <v>1.5180838000000001</v>
      </c>
      <c r="E265" s="119">
        <v>2.0108308799999999</v>
      </c>
      <c r="F265" s="119">
        <v>0.21079389000000001</v>
      </c>
      <c r="G265" s="119">
        <v>0.53529643999999998</v>
      </c>
      <c r="H265" s="119">
        <v>0.94957480000000005</v>
      </c>
      <c r="I265" s="119">
        <v>1.6617741500000001</v>
      </c>
      <c r="J265" s="119">
        <v>1.86899594</v>
      </c>
      <c r="K265" s="119">
        <v>2.00799533</v>
      </c>
      <c r="L265" s="119">
        <v>2.1349384900000001</v>
      </c>
      <c r="M265" s="2"/>
      <c r="N265" s="2"/>
      <c r="O265" s="2"/>
      <c r="P265" s="2"/>
      <c r="Q265" s="2"/>
      <c r="R265" s="2"/>
      <c r="S265" s="2"/>
      <c r="V265" s="77"/>
      <c r="W265" s="77"/>
      <c r="X265" s="77"/>
      <c r="Y265" s="77"/>
      <c r="Z265" s="77"/>
      <c r="AA265" s="77"/>
      <c r="AB265" s="77"/>
      <c r="AC265" s="77"/>
      <c r="AD265" s="77"/>
      <c r="AF265" s="80"/>
      <c r="AG265" s="80"/>
      <c r="AH265" s="80"/>
      <c r="AI265" s="80"/>
      <c r="AJ265" s="80"/>
      <c r="AK265" s="80"/>
      <c r="AL265" s="80"/>
      <c r="AM265" s="80"/>
      <c r="AN265" s="80"/>
      <c r="AO265" s="80"/>
    </row>
    <row r="266" spans="1:41" x14ac:dyDescent="0.35">
      <c r="A266" s="47">
        <v>12</v>
      </c>
      <c r="B266" s="118">
        <v>46377</v>
      </c>
      <c r="C266" s="119">
        <v>1</v>
      </c>
      <c r="D266" s="119">
        <v>1.41968776</v>
      </c>
      <c r="E266" s="119">
        <v>2.0572678099999999</v>
      </c>
      <c r="F266" s="119">
        <v>0.51667565000000004</v>
      </c>
      <c r="G266" s="119">
        <v>0.90396569000000004</v>
      </c>
      <c r="H266" s="119">
        <v>1.3766561100000001</v>
      </c>
      <c r="I266" s="119">
        <v>1.7672935299999999</v>
      </c>
      <c r="J266" s="119">
        <v>1.9985016600000001</v>
      </c>
      <c r="K266" s="119">
        <v>2.27384984</v>
      </c>
      <c r="L266" s="119">
        <v>2.4053559099999999</v>
      </c>
      <c r="M266" s="2"/>
      <c r="N266" s="2"/>
      <c r="O266" s="2"/>
      <c r="P266" s="2"/>
      <c r="Q266" s="2"/>
      <c r="R266" s="2"/>
      <c r="S266" s="2"/>
      <c r="V266" s="77"/>
      <c r="W266" s="77"/>
      <c r="X266" s="77"/>
      <c r="Y266" s="77"/>
      <c r="Z266" s="77"/>
      <c r="AA266" s="77"/>
      <c r="AB266" s="77"/>
      <c r="AC266" s="77"/>
      <c r="AD266" s="77"/>
      <c r="AF266" s="80"/>
      <c r="AG266" s="80"/>
      <c r="AH266" s="80"/>
      <c r="AI266" s="80"/>
      <c r="AJ266" s="80"/>
      <c r="AK266" s="80"/>
      <c r="AL266" s="80"/>
      <c r="AM266" s="80"/>
      <c r="AN266" s="80"/>
      <c r="AO266" s="80"/>
    </row>
    <row r="267" spans="1:41" x14ac:dyDescent="0.35">
      <c r="A267" s="47">
        <v>12</v>
      </c>
      <c r="B267" s="118">
        <v>46378</v>
      </c>
      <c r="C267" s="119">
        <v>1</v>
      </c>
      <c r="D267" s="119">
        <v>1.42525803</v>
      </c>
      <c r="E267" s="119">
        <v>2.0668399700000002</v>
      </c>
      <c r="F267" s="119">
        <v>0.52875152000000003</v>
      </c>
      <c r="G267" s="119">
        <v>0.91924642000000001</v>
      </c>
      <c r="H267" s="119">
        <v>1.3812726399999999</v>
      </c>
      <c r="I267" s="119">
        <v>1.7747164099999999</v>
      </c>
      <c r="J267" s="119">
        <v>2.00761827</v>
      </c>
      <c r="K267" s="119">
        <v>2.2847452700000002</v>
      </c>
      <c r="L267" s="119">
        <v>2.41740602</v>
      </c>
      <c r="M267" s="2"/>
      <c r="N267" s="2"/>
      <c r="O267" s="2"/>
      <c r="P267" s="2"/>
      <c r="Q267" s="2"/>
      <c r="R267" s="2"/>
      <c r="S267" s="2"/>
      <c r="V267" s="77"/>
      <c r="W267" s="77"/>
      <c r="X267" s="77"/>
      <c r="Y267" s="77"/>
      <c r="Z267" s="77"/>
      <c r="AA267" s="77"/>
      <c r="AB267" s="77"/>
      <c r="AC267" s="77"/>
      <c r="AD267" s="77"/>
      <c r="AF267" s="80"/>
      <c r="AG267" s="80"/>
      <c r="AH267" s="80"/>
      <c r="AI267" s="80"/>
      <c r="AJ267" s="80"/>
      <c r="AK267" s="80"/>
      <c r="AL267" s="80"/>
      <c r="AM267" s="80"/>
      <c r="AN267" s="80"/>
      <c r="AO267" s="80"/>
    </row>
    <row r="268" spans="1:41" x14ac:dyDescent="0.35">
      <c r="A268" s="47">
        <v>12</v>
      </c>
      <c r="B268" s="118">
        <v>46379</v>
      </c>
      <c r="C268" s="119">
        <v>1</v>
      </c>
      <c r="D268" s="119">
        <v>1.4302334800000001</v>
      </c>
      <c r="E268" s="119">
        <v>2.0747319200000001</v>
      </c>
      <c r="F268" s="119">
        <v>0.54082739000000002</v>
      </c>
      <c r="G268" s="119">
        <v>0.93452714999999997</v>
      </c>
      <c r="H268" s="119">
        <v>1.38576148</v>
      </c>
      <c r="I268" s="119">
        <v>1.7810519</v>
      </c>
      <c r="J268" s="119">
        <v>2.0152100499999999</v>
      </c>
      <c r="K268" s="119">
        <v>2.2936307</v>
      </c>
      <c r="L268" s="119">
        <v>2.4271137399999998</v>
      </c>
      <c r="M268" s="2"/>
      <c r="N268" s="2"/>
      <c r="O268" s="2"/>
      <c r="P268" s="2"/>
      <c r="Q268" s="2"/>
      <c r="R268" s="2"/>
      <c r="S268" s="2"/>
      <c r="V268" s="77"/>
      <c r="W268" s="77"/>
      <c r="X268" s="77"/>
      <c r="Y268" s="77"/>
      <c r="Z268" s="77"/>
      <c r="AA268" s="77"/>
      <c r="AB268" s="77"/>
      <c r="AC268" s="77"/>
      <c r="AD268" s="77"/>
      <c r="AF268" s="80"/>
      <c r="AG268" s="80"/>
      <c r="AH268" s="80"/>
      <c r="AI268" s="80"/>
      <c r="AJ268" s="80"/>
      <c r="AK268" s="80"/>
      <c r="AL268" s="80"/>
      <c r="AM268" s="80"/>
      <c r="AN268" s="80"/>
      <c r="AO268" s="80"/>
    </row>
    <row r="269" spans="1:41" x14ac:dyDescent="0.35">
      <c r="A269" s="47">
        <v>12</v>
      </c>
      <c r="B269" s="118">
        <v>46380</v>
      </c>
      <c r="C269" s="119">
        <v>1</v>
      </c>
      <c r="D269" s="119">
        <v>1.43517048</v>
      </c>
      <c r="E269" s="119">
        <v>2.0826065300000001</v>
      </c>
      <c r="F269" s="119">
        <v>0.55290326000000001</v>
      </c>
      <c r="G269" s="119">
        <v>0.94980788000000005</v>
      </c>
      <c r="H269" s="119">
        <v>1.3901914200000001</v>
      </c>
      <c r="I269" s="119">
        <v>1.7873579900000001</v>
      </c>
      <c r="J269" s="119">
        <v>2.0227797299999999</v>
      </c>
      <c r="K269" s="119">
        <v>2.3025036000000001</v>
      </c>
      <c r="L269" s="119">
        <v>2.4368164600000002</v>
      </c>
      <c r="M269" s="2"/>
      <c r="N269" s="2"/>
      <c r="O269" s="2"/>
      <c r="P269" s="2"/>
      <c r="Q269" s="2"/>
      <c r="R269" s="2"/>
      <c r="S269" s="2"/>
      <c r="V269" s="77"/>
      <c r="W269" s="77"/>
      <c r="X269" s="77"/>
      <c r="Y269" s="77"/>
      <c r="Z269" s="77"/>
      <c r="AA269" s="77"/>
      <c r="AB269" s="77"/>
      <c r="AC269" s="77"/>
      <c r="AD269" s="77"/>
      <c r="AF269" s="80"/>
      <c r="AG269" s="80"/>
      <c r="AH269" s="80"/>
      <c r="AI269" s="80"/>
      <c r="AJ269" s="80"/>
      <c r="AK269" s="80"/>
      <c r="AL269" s="80"/>
      <c r="AM269" s="80"/>
      <c r="AN269" s="80"/>
      <c r="AO269" s="80"/>
    </row>
    <row r="270" spans="1:41" x14ac:dyDescent="0.35">
      <c r="A270" s="47">
        <v>12</v>
      </c>
      <c r="B270" s="118">
        <v>46381</v>
      </c>
      <c r="C270" s="119">
        <v>0</v>
      </c>
      <c r="D270" s="119">
        <v>1.54530167</v>
      </c>
      <c r="E270" s="119">
        <v>2.0532143999999999</v>
      </c>
      <c r="F270" s="119">
        <v>0.20699959000000001</v>
      </c>
      <c r="G270" s="119">
        <v>0.53286818000000002</v>
      </c>
      <c r="H270" s="119">
        <v>0.96418970000000004</v>
      </c>
      <c r="I270" s="119">
        <v>1.69352039</v>
      </c>
      <c r="J270" s="119">
        <v>1.9084163700000001</v>
      </c>
      <c r="K270" s="119">
        <v>2.0525993599999999</v>
      </c>
      <c r="L270" s="119">
        <v>2.1839449599999998</v>
      </c>
      <c r="M270" s="2"/>
      <c r="N270" s="2"/>
      <c r="O270" s="2"/>
      <c r="P270" s="2"/>
      <c r="Q270" s="2"/>
      <c r="R270" s="2"/>
      <c r="S270" s="2"/>
      <c r="V270" s="77"/>
      <c r="W270" s="77"/>
      <c r="X270" s="77"/>
      <c r="Y270" s="77"/>
      <c r="Z270" s="77"/>
      <c r="AA270" s="77"/>
      <c r="AB270" s="77"/>
      <c r="AC270" s="77"/>
      <c r="AD270" s="77"/>
      <c r="AF270" s="80"/>
      <c r="AG270" s="80"/>
      <c r="AH270" s="80"/>
      <c r="AI270" s="80"/>
      <c r="AJ270" s="80"/>
      <c r="AK270" s="80"/>
      <c r="AL270" s="80"/>
      <c r="AM270" s="80"/>
      <c r="AN270" s="80"/>
      <c r="AO270" s="80"/>
    </row>
    <row r="271" spans="1:41" x14ac:dyDescent="0.35">
      <c r="A271" s="47">
        <v>12</v>
      </c>
      <c r="B271" s="118">
        <v>46382</v>
      </c>
      <c r="C271" s="119">
        <v>0</v>
      </c>
      <c r="D271" s="119">
        <v>1.55037409</v>
      </c>
      <c r="E271" s="119">
        <v>2.0609736999999999</v>
      </c>
      <c r="F271" s="119">
        <v>0.20624073000000001</v>
      </c>
      <c r="G271" s="119">
        <v>0.53238253000000002</v>
      </c>
      <c r="H271" s="119">
        <v>0.96694071000000004</v>
      </c>
      <c r="I271" s="119">
        <v>1.6993702799999999</v>
      </c>
      <c r="J271" s="119">
        <v>1.91565348</v>
      </c>
      <c r="K271" s="119">
        <v>2.0607511199999999</v>
      </c>
      <c r="L271" s="119">
        <v>2.1928731199999998</v>
      </c>
      <c r="M271" s="2"/>
      <c r="N271" s="2"/>
      <c r="O271" s="2"/>
      <c r="P271" s="2"/>
      <c r="Q271" s="2"/>
      <c r="R271" s="2"/>
      <c r="S271" s="2"/>
      <c r="V271" s="77"/>
      <c r="W271" s="77"/>
      <c r="X271" s="77"/>
      <c r="Y271" s="77"/>
      <c r="Z271" s="77"/>
      <c r="AA271" s="77"/>
      <c r="AB271" s="77"/>
      <c r="AC271" s="77"/>
      <c r="AD271" s="77"/>
      <c r="AF271" s="80"/>
      <c r="AG271" s="80"/>
      <c r="AH271" s="80"/>
      <c r="AI271" s="80"/>
      <c r="AJ271" s="80"/>
      <c r="AK271" s="80"/>
      <c r="AL271" s="80"/>
      <c r="AM271" s="80"/>
      <c r="AN271" s="80"/>
      <c r="AO271" s="80"/>
    </row>
    <row r="272" spans="1:41" x14ac:dyDescent="0.35">
      <c r="A272" s="47">
        <v>12</v>
      </c>
      <c r="B272" s="118">
        <v>46383</v>
      </c>
      <c r="C272" s="119">
        <v>0</v>
      </c>
      <c r="D272" s="119">
        <v>1.5554093200000001</v>
      </c>
      <c r="E272" s="119">
        <v>2.0687169999999999</v>
      </c>
      <c r="F272" s="119">
        <v>0.20548187000000001</v>
      </c>
      <c r="G272" s="119">
        <v>0.53189686999999997</v>
      </c>
      <c r="H272" s="119">
        <v>0.96966353999999999</v>
      </c>
      <c r="I272" s="119">
        <v>1.7051967699999999</v>
      </c>
      <c r="J272" s="119">
        <v>1.9228696199999999</v>
      </c>
      <c r="K272" s="119">
        <v>2.0688902900000001</v>
      </c>
      <c r="L272" s="119">
        <v>2.20179591</v>
      </c>
      <c r="M272" s="2"/>
      <c r="N272" s="2"/>
      <c r="O272" s="2"/>
      <c r="P272" s="2"/>
      <c r="Q272" s="2"/>
      <c r="R272" s="2"/>
      <c r="S272" s="2"/>
      <c r="V272" s="77"/>
      <c r="W272" s="77"/>
      <c r="X272" s="77"/>
      <c r="Y272" s="77"/>
      <c r="Z272" s="77"/>
      <c r="AA272" s="77"/>
      <c r="AB272" s="77"/>
      <c r="AC272" s="77"/>
      <c r="AD272" s="77"/>
      <c r="AF272" s="80"/>
      <c r="AG272" s="80"/>
      <c r="AH272" s="80"/>
      <c r="AI272" s="80"/>
      <c r="AJ272" s="80"/>
      <c r="AK272" s="80"/>
      <c r="AL272" s="80"/>
      <c r="AM272" s="80"/>
      <c r="AN272" s="80"/>
      <c r="AO272" s="80"/>
    </row>
    <row r="273" spans="1:41" x14ac:dyDescent="0.35">
      <c r="A273" s="47">
        <v>12</v>
      </c>
      <c r="B273" s="118">
        <v>46384</v>
      </c>
      <c r="C273" s="119">
        <v>1</v>
      </c>
      <c r="D273" s="119">
        <v>1.4539662600000001</v>
      </c>
      <c r="E273" s="119">
        <v>2.1122635500000002</v>
      </c>
      <c r="F273" s="119">
        <v>0.60120673000000002</v>
      </c>
      <c r="G273" s="119">
        <v>1.0109307999999999</v>
      </c>
      <c r="H273" s="119">
        <v>1.40723585</v>
      </c>
      <c r="I273" s="119">
        <v>1.81122155</v>
      </c>
      <c r="J273" s="119">
        <v>2.0513281399999999</v>
      </c>
      <c r="K273" s="119">
        <v>2.3358688500000002</v>
      </c>
      <c r="L273" s="119">
        <v>2.4732383800000002</v>
      </c>
      <c r="M273" s="2"/>
      <c r="N273" s="2"/>
      <c r="O273" s="2"/>
      <c r="P273" s="2"/>
      <c r="Q273" s="2"/>
      <c r="R273" s="2"/>
      <c r="S273" s="2"/>
      <c r="V273" s="77"/>
      <c r="W273" s="77"/>
      <c r="X273" s="77"/>
      <c r="Y273" s="77"/>
      <c r="Z273" s="77"/>
      <c r="AA273" s="77"/>
      <c r="AB273" s="77"/>
      <c r="AC273" s="77"/>
      <c r="AD273" s="77"/>
      <c r="AF273" s="80"/>
      <c r="AG273" s="80"/>
      <c r="AH273" s="80"/>
      <c r="AI273" s="80"/>
      <c r="AJ273" s="80"/>
      <c r="AK273" s="80"/>
      <c r="AL273" s="80"/>
      <c r="AM273" s="80"/>
      <c r="AN273" s="80"/>
      <c r="AO273" s="80"/>
    </row>
    <row r="274" spans="1:41" x14ac:dyDescent="0.35">
      <c r="A274" s="47">
        <v>12</v>
      </c>
      <c r="B274" s="118">
        <v>46385</v>
      </c>
      <c r="C274" s="119">
        <v>1</v>
      </c>
      <c r="D274" s="119">
        <v>1.4581459299999999</v>
      </c>
      <c r="E274" s="119">
        <v>2.1183846499999999</v>
      </c>
      <c r="F274" s="119">
        <v>0.61328260000000001</v>
      </c>
      <c r="G274" s="119">
        <v>1.0262115300000001</v>
      </c>
      <c r="H274" s="119">
        <v>1.41128908</v>
      </c>
      <c r="I274" s="119">
        <v>1.81631593</v>
      </c>
      <c r="J274" s="119">
        <v>2.05727956</v>
      </c>
      <c r="K274" s="119">
        <v>2.3426788300000001</v>
      </c>
      <c r="L274" s="119">
        <v>2.4805775400000001</v>
      </c>
      <c r="M274" s="2"/>
      <c r="N274" s="2"/>
      <c r="O274" s="2"/>
      <c r="P274" s="2"/>
      <c r="Q274" s="2"/>
      <c r="R274" s="2"/>
      <c r="S274" s="2"/>
      <c r="V274" s="77"/>
      <c r="W274" s="77"/>
      <c r="X274" s="77"/>
      <c r="Y274" s="77"/>
      <c r="Z274" s="77"/>
      <c r="AA274" s="77"/>
      <c r="AB274" s="77"/>
      <c r="AC274" s="77"/>
      <c r="AD274" s="77"/>
      <c r="AF274" s="80"/>
      <c r="AG274" s="80"/>
      <c r="AH274" s="80"/>
      <c r="AI274" s="80"/>
      <c r="AJ274" s="80"/>
      <c r="AK274" s="80"/>
      <c r="AL274" s="80"/>
      <c r="AM274" s="80"/>
      <c r="AN274" s="80"/>
      <c r="AO274" s="80"/>
    </row>
    <row r="275" spans="1:41" x14ac:dyDescent="0.35">
      <c r="A275" s="47">
        <v>12</v>
      </c>
      <c r="B275" s="118">
        <v>46386</v>
      </c>
      <c r="C275" s="119">
        <v>1</v>
      </c>
      <c r="D275" s="119">
        <v>1.46228384</v>
      </c>
      <c r="E275" s="119">
        <v>2.1244869199999998</v>
      </c>
      <c r="F275" s="119">
        <v>0.62535847</v>
      </c>
      <c r="G275" s="119">
        <v>1.0414922600000001</v>
      </c>
      <c r="H275" s="119">
        <v>1.4152783600000001</v>
      </c>
      <c r="I275" s="119">
        <v>1.8213783699999999</v>
      </c>
      <c r="J275" s="119">
        <v>2.0632069899999999</v>
      </c>
      <c r="K275" s="119">
        <v>2.34947522</v>
      </c>
      <c r="L275" s="119">
        <v>2.4879112700000001</v>
      </c>
      <c r="M275" s="2"/>
      <c r="N275" s="2"/>
      <c r="O275" s="2"/>
      <c r="P275" s="2"/>
      <c r="Q275" s="2"/>
      <c r="R275" s="2"/>
      <c r="S275" s="2"/>
      <c r="V275" s="77"/>
      <c r="W275" s="77"/>
      <c r="X275" s="77"/>
      <c r="Y275" s="77"/>
      <c r="Z275" s="77"/>
      <c r="AA275" s="77"/>
      <c r="AB275" s="77"/>
      <c r="AC275" s="77"/>
      <c r="AD275" s="77"/>
      <c r="AF275" s="80"/>
      <c r="AG275" s="80"/>
      <c r="AH275" s="80"/>
      <c r="AI275" s="80"/>
      <c r="AJ275" s="80"/>
      <c r="AK275" s="80"/>
      <c r="AL275" s="80"/>
      <c r="AM275" s="80"/>
      <c r="AN275" s="80"/>
      <c r="AO275" s="80"/>
    </row>
    <row r="276" spans="1:41" x14ac:dyDescent="0.35">
      <c r="A276" s="47">
        <v>12</v>
      </c>
      <c r="B276" s="118">
        <v>46387</v>
      </c>
      <c r="C276" s="119">
        <v>1</v>
      </c>
      <c r="D276" s="119">
        <v>1.4669364</v>
      </c>
      <c r="E276" s="119">
        <v>2.1322332099999999</v>
      </c>
      <c r="F276" s="119">
        <v>0.63743433999999999</v>
      </c>
      <c r="G276" s="119">
        <v>1.05677299</v>
      </c>
      <c r="H276" s="119">
        <v>1.4192724299999999</v>
      </c>
      <c r="I276" s="119">
        <v>1.8274668700000001</v>
      </c>
      <c r="J276" s="119">
        <v>2.0706131399999999</v>
      </c>
      <c r="K276" s="119">
        <v>2.3582554999999998</v>
      </c>
      <c r="L276" s="119">
        <v>2.4975769300000001</v>
      </c>
      <c r="M276" s="2"/>
      <c r="N276" s="2"/>
      <c r="O276" s="2"/>
      <c r="P276" s="2"/>
      <c r="Q276" s="2"/>
      <c r="R276" s="2"/>
      <c r="S276" s="2"/>
      <c r="V276" s="77"/>
      <c r="W276" s="77"/>
      <c r="X276" s="77"/>
      <c r="Y276" s="77"/>
      <c r="Z276" s="77"/>
      <c r="AA276" s="77"/>
      <c r="AB276" s="77"/>
      <c r="AC276" s="77"/>
      <c r="AD276" s="77"/>
      <c r="AF276" s="80"/>
      <c r="AG276" s="80"/>
      <c r="AH276" s="80"/>
      <c r="AI276" s="80"/>
      <c r="AJ276" s="80"/>
      <c r="AK276" s="80"/>
      <c r="AL276" s="80"/>
      <c r="AM276" s="80"/>
      <c r="AN276" s="80"/>
      <c r="AO276" s="80"/>
    </row>
    <row r="277" spans="1:41" x14ac:dyDescent="0.35">
      <c r="A277" s="47">
        <v>1</v>
      </c>
      <c r="B277" s="118">
        <v>46388</v>
      </c>
      <c r="C277" s="119">
        <v>0</v>
      </c>
      <c r="D277" s="119">
        <v>1.5767203400000001</v>
      </c>
      <c r="E277" s="119">
        <v>2.0987988299999998</v>
      </c>
      <c r="F277" s="119">
        <v>0.20244643000000001</v>
      </c>
      <c r="G277" s="119">
        <v>0.52995426000000001</v>
      </c>
      <c r="H277" s="119">
        <v>0.98171491</v>
      </c>
      <c r="I277" s="119">
        <v>1.72857445</v>
      </c>
      <c r="J277" s="119">
        <v>1.9512995799999999</v>
      </c>
      <c r="K277" s="119">
        <v>2.1002356400000002</v>
      </c>
      <c r="L277" s="119">
        <v>2.23560771</v>
      </c>
      <c r="M277" s="2"/>
      <c r="N277" s="2"/>
      <c r="O277" s="2"/>
      <c r="P277" s="2"/>
      <c r="Q277" s="2"/>
      <c r="R277" s="2"/>
      <c r="S277" s="2"/>
      <c r="V277" s="77"/>
      <c r="W277" s="77"/>
      <c r="X277" s="77"/>
      <c r="Y277" s="77"/>
      <c r="Z277" s="77"/>
      <c r="AA277" s="77"/>
      <c r="AB277" s="77"/>
      <c r="AC277" s="77"/>
      <c r="AD277" s="77"/>
      <c r="AF277" s="80"/>
      <c r="AG277" s="80"/>
      <c r="AH277" s="80"/>
      <c r="AI277" s="80"/>
      <c r="AJ277" s="80"/>
      <c r="AK277" s="80"/>
      <c r="AL277" s="80"/>
      <c r="AM277" s="80"/>
      <c r="AN277" s="80"/>
      <c r="AO277" s="80"/>
    </row>
    <row r="278" spans="1:41" x14ac:dyDescent="0.35">
      <c r="A278" s="47">
        <v>1</v>
      </c>
      <c r="B278" s="118">
        <v>46389</v>
      </c>
      <c r="C278" s="119">
        <v>0</v>
      </c>
      <c r="D278" s="119">
        <v>1.5808637299999999</v>
      </c>
      <c r="E278" s="119">
        <v>2.1047641100000001</v>
      </c>
      <c r="F278" s="119">
        <v>0.20168757000000001</v>
      </c>
      <c r="G278" s="119">
        <v>0.52946861000000001</v>
      </c>
      <c r="H278" s="119">
        <v>0.98403514000000003</v>
      </c>
      <c r="I278" s="119">
        <v>1.7331752199999999</v>
      </c>
      <c r="J278" s="119">
        <v>1.9569185899999999</v>
      </c>
      <c r="K278" s="119">
        <v>2.1064644299999999</v>
      </c>
      <c r="L278" s="119">
        <v>2.2423528799999999</v>
      </c>
      <c r="M278" s="2"/>
      <c r="N278" s="2"/>
      <c r="O278" s="2"/>
      <c r="P278" s="2"/>
      <c r="Q278" s="2"/>
      <c r="R278" s="2"/>
      <c r="S278" s="2"/>
      <c r="V278" s="77"/>
      <c r="W278" s="77"/>
      <c r="X278" s="77"/>
      <c r="Y278" s="77"/>
      <c r="Z278" s="77"/>
      <c r="AA278" s="77"/>
      <c r="AB278" s="77"/>
      <c r="AC278" s="77"/>
      <c r="AD278" s="77"/>
      <c r="AF278" s="80"/>
      <c r="AG278" s="80"/>
      <c r="AH278" s="80"/>
      <c r="AI278" s="80"/>
      <c r="AJ278" s="80"/>
      <c r="AK278" s="80"/>
      <c r="AL278" s="80"/>
      <c r="AM278" s="80"/>
      <c r="AN278" s="80"/>
      <c r="AO278" s="80"/>
    </row>
    <row r="279" spans="1:41" x14ac:dyDescent="0.35">
      <c r="A279" s="47">
        <v>1</v>
      </c>
      <c r="B279" s="118">
        <v>46390</v>
      </c>
      <c r="C279" s="119">
        <v>0</v>
      </c>
      <c r="D279" s="119">
        <v>1.5843084199999999</v>
      </c>
      <c r="E279" s="119">
        <v>2.10903441</v>
      </c>
      <c r="F279" s="119">
        <v>0.20092871000000001</v>
      </c>
      <c r="G279" s="119">
        <v>0.52898296</v>
      </c>
      <c r="H279" s="119">
        <v>0.98609915000000004</v>
      </c>
      <c r="I279" s="119">
        <v>1.73667182</v>
      </c>
      <c r="J279" s="119">
        <v>1.9610493499999999</v>
      </c>
      <c r="K279" s="119">
        <v>2.1108483300000001</v>
      </c>
      <c r="L279" s="119">
        <v>2.2469483800000001</v>
      </c>
      <c r="M279" s="2"/>
      <c r="N279" s="2"/>
      <c r="O279" s="2"/>
      <c r="P279" s="2"/>
      <c r="Q279" s="2"/>
      <c r="R279" s="2"/>
      <c r="S279" s="2"/>
      <c r="V279" s="77"/>
      <c r="W279" s="77"/>
      <c r="X279" s="77"/>
      <c r="Y279" s="77"/>
      <c r="Z279" s="77"/>
      <c r="AA279" s="77"/>
      <c r="AB279" s="77"/>
      <c r="AC279" s="77"/>
      <c r="AD279" s="77"/>
      <c r="AF279" s="80"/>
      <c r="AG279" s="80"/>
      <c r="AH279" s="80"/>
      <c r="AI279" s="80"/>
      <c r="AJ279" s="80"/>
      <c r="AK279" s="80"/>
      <c r="AL279" s="80"/>
      <c r="AM279" s="80"/>
      <c r="AN279" s="80"/>
      <c r="AO279" s="80"/>
    </row>
    <row r="280" spans="1:41" x14ac:dyDescent="0.35">
      <c r="A280" s="47">
        <v>1</v>
      </c>
      <c r="B280" s="118">
        <v>46391</v>
      </c>
      <c r="C280" s="119">
        <v>1</v>
      </c>
      <c r="D280" s="119">
        <v>1.4817705699999999</v>
      </c>
      <c r="E280" s="119">
        <v>2.15304377</v>
      </c>
      <c r="F280" s="119">
        <v>0.87520125999999998</v>
      </c>
      <c r="G280" s="119">
        <v>1.22626222</v>
      </c>
      <c r="H280" s="119">
        <v>1.4341653400000001</v>
      </c>
      <c r="I280" s="119">
        <v>1.8451381</v>
      </c>
      <c r="J280" s="119">
        <v>2.0909697299999999</v>
      </c>
      <c r="K280" s="119">
        <v>2.3812491599999999</v>
      </c>
      <c r="L280" s="119">
        <v>2.52215831</v>
      </c>
      <c r="M280" s="2"/>
      <c r="N280" s="2"/>
      <c r="O280" s="2"/>
      <c r="P280" s="2"/>
      <c r="Q280" s="2"/>
      <c r="R280" s="2"/>
      <c r="S280" s="2"/>
      <c r="V280" s="77"/>
      <c r="W280" s="77"/>
      <c r="X280" s="77"/>
      <c r="Y280" s="77"/>
      <c r="Z280" s="77"/>
      <c r="AA280" s="77"/>
      <c r="AB280" s="77"/>
      <c r="AC280" s="77"/>
      <c r="AD280" s="77"/>
      <c r="AF280" s="80"/>
      <c r="AG280" s="80"/>
      <c r="AH280" s="80"/>
      <c r="AI280" s="80"/>
      <c r="AJ280" s="80"/>
      <c r="AK280" s="80"/>
      <c r="AL280" s="80"/>
      <c r="AM280" s="80"/>
      <c r="AN280" s="80"/>
      <c r="AO280" s="80"/>
    </row>
    <row r="281" spans="1:41" x14ac:dyDescent="0.35">
      <c r="A281" s="47">
        <v>1</v>
      </c>
      <c r="B281" s="118">
        <v>46392</v>
      </c>
      <c r="C281" s="119">
        <v>1</v>
      </c>
      <c r="D281" s="119">
        <v>1.48508917</v>
      </c>
      <c r="E281" s="119">
        <v>2.1573645699999999</v>
      </c>
      <c r="F281" s="119">
        <v>0.86895537</v>
      </c>
      <c r="G281" s="119">
        <v>1.2303023099999999</v>
      </c>
      <c r="H281" s="119">
        <v>1.43768294</v>
      </c>
      <c r="I281" s="119">
        <v>1.84894143</v>
      </c>
      <c r="J281" s="119">
        <v>2.0952432700000001</v>
      </c>
      <c r="K281" s="119">
        <v>2.3859624400000001</v>
      </c>
      <c r="L281" s="119">
        <v>2.5271204100000002</v>
      </c>
      <c r="M281" s="2"/>
      <c r="N281" s="2"/>
      <c r="O281" s="2"/>
      <c r="P281" s="2"/>
      <c r="Q281" s="2"/>
      <c r="R281" s="2"/>
      <c r="S281" s="2"/>
      <c r="V281" s="77"/>
      <c r="W281" s="77"/>
      <c r="X281" s="77"/>
      <c r="Y281" s="77"/>
      <c r="Z281" s="77"/>
      <c r="AA281" s="77"/>
      <c r="AB281" s="77"/>
      <c r="AC281" s="77"/>
      <c r="AD281" s="77"/>
      <c r="AF281" s="80"/>
      <c r="AG281" s="80"/>
      <c r="AH281" s="80"/>
      <c r="AI281" s="80"/>
      <c r="AJ281" s="80"/>
      <c r="AK281" s="80"/>
      <c r="AL281" s="80"/>
      <c r="AM281" s="80"/>
      <c r="AN281" s="80"/>
      <c r="AO281" s="80"/>
    </row>
    <row r="282" spans="1:41" x14ac:dyDescent="0.35">
      <c r="A282" s="47">
        <v>1</v>
      </c>
      <c r="B282" s="118">
        <v>46393</v>
      </c>
      <c r="C282" s="119">
        <v>1</v>
      </c>
      <c r="D282" s="119">
        <v>1.48891895</v>
      </c>
      <c r="E282" s="119">
        <v>2.16332784</v>
      </c>
      <c r="F282" s="119">
        <v>0.86270948999999997</v>
      </c>
      <c r="G282" s="119">
        <v>1.2343424000000001</v>
      </c>
      <c r="H282" s="119">
        <v>1.44120005</v>
      </c>
      <c r="I282" s="119">
        <v>1.85376816</v>
      </c>
      <c r="J282" s="119">
        <v>2.10099356</v>
      </c>
      <c r="K282" s="119">
        <v>2.3926584900000001</v>
      </c>
      <c r="L282" s="119">
        <v>2.5344139999999999</v>
      </c>
      <c r="M282" s="2"/>
      <c r="N282" s="2"/>
      <c r="O282" s="2"/>
      <c r="P282" s="2"/>
      <c r="Q282" s="2"/>
      <c r="R282" s="2"/>
      <c r="S282" s="2"/>
      <c r="V282" s="77"/>
      <c r="W282" s="77"/>
      <c r="X282" s="77"/>
      <c r="Y282" s="77"/>
      <c r="Z282" s="77"/>
      <c r="AA282" s="77"/>
      <c r="AB282" s="77"/>
      <c r="AC282" s="77"/>
      <c r="AD282" s="77"/>
      <c r="AF282" s="80"/>
      <c r="AG282" s="80"/>
      <c r="AH282" s="80"/>
      <c r="AI282" s="80"/>
      <c r="AJ282" s="80"/>
      <c r="AK282" s="80"/>
      <c r="AL282" s="80"/>
      <c r="AM282" s="80"/>
      <c r="AN282" s="80"/>
      <c r="AO282" s="80"/>
    </row>
    <row r="283" spans="1:41" x14ac:dyDescent="0.35">
      <c r="A283" s="47">
        <v>1</v>
      </c>
      <c r="B283" s="118">
        <v>46394</v>
      </c>
      <c r="C283" s="119">
        <v>1</v>
      </c>
      <c r="D283" s="119">
        <v>1.49214545</v>
      </c>
      <c r="E283" s="119">
        <v>2.1676070900000002</v>
      </c>
      <c r="F283" s="119">
        <v>0.85646359999999999</v>
      </c>
      <c r="G283" s="119">
        <v>1.23838249</v>
      </c>
      <c r="H283" s="119">
        <v>1.44457652</v>
      </c>
      <c r="I283" s="119">
        <v>1.85750104</v>
      </c>
      <c r="J283" s="119">
        <v>2.1052141500000001</v>
      </c>
      <c r="K283" s="119">
        <v>2.3973417800000001</v>
      </c>
      <c r="L283" s="119">
        <v>2.5393640999999998</v>
      </c>
      <c r="M283" s="2"/>
      <c r="N283" s="2"/>
      <c r="O283" s="2"/>
      <c r="P283" s="2"/>
      <c r="Q283" s="2"/>
      <c r="R283" s="2"/>
      <c r="S283" s="2"/>
      <c r="V283" s="77"/>
      <c r="W283" s="77"/>
      <c r="X283" s="77"/>
      <c r="Y283" s="77"/>
      <c r="Z283" s="77"/>
      <c r="AA283" s="77"/>
      <c r="AB283" s="77"/>
      <c r="AC283" s="77"/>
      <c r="AD283" s="77"/>
      <c r="AF283" s="80"/>
      <c r="AG283" s="80"/>
      <c r="AH283" s="80"/>
      <c r="AI283" s="80"/>
      <c r="AJ283" s="80"/>
      <c r="AK283" s="80"/>
      <c r="AL283" s="80"/>
      <c r="AM283" s="80"/>
      <c r="AN283" s="80"/>
      <c r="AO283" s="80"/>
    </row>
    <row r="284" spans="1:41" x14ac:dyDescent="0.35">
      <c r="A284" s="47">
        <v>1</v>
      </c>
      <c r="B284" s="118">
        <v>46395</v>
      </c>
      <c r="C284" s="119">
        <v>1</v>
      </c>
      <c r="D284" s="119">
        <v>1.49532501</v>
      </c>
      <c r="E284" s="119">
        <v>2.1718651599999999</v>
      </c>
      <c r="F284" s="119">
        <v>0.85021771000000002</v>
      </c>
      <c r="G284" s="119">
        <v>1.2424225799999999</v>
      </c>
      <c r="H284" s="119">
        <v>1.44788107</v>
      </c>
      <c r="I284" s="119">
        <v>1.8611980100000001</v>
      </c>
      <c r="J284" s="119">
        <v>2.1094077599999999</v>
      </c>
      <c r="K284" s="119">
        <v>2.4020097800000002</v>
      </c>
      <c r="L284" s="119">
        <v>2.5443080899999999</v>
      </c>
      <c r="M284" s="2"/>
      <c r="N284" s="2"/>
      <c r="O284" s="2"/>
      <c r="P284" s="2"/>
      <c r="Q284" s="2"/>
      <c r="R284" s="2"/>
      <c r="S284" s="2"/>
      <c r="V284" s="77"/>
      <c r="W284" s="77"/>
      <c r="X284" s="77"/>
      <c r="Y284" s="77"/>
      <c r="Z284" s="77"/>
      <c r="AA284" s="77"/>
      <c r="AB284" s="77"/>
      <c r="AC284" s="77"/>
      <c r="AD284" s="77"/>
      <c r="AF284" s="80"/>
      <c r="AG284" s="80"/>
      <c r="AH284" s="80"/>
      <c r="AI284" s="80"/>
      <c r="AJ284" s="80"/>
      <c r="AK284" s="80"/>
      <c r="AL284" s="80"/>
      <c r="AM284" s="80"/>
      <c r="AN284" s="80"/>
      <c r="AO284" s="80"/>
    </row>
    <row r="285" spans="1:41" x14ac:dyDescent="0.35">
      <c r="A285" s="47">
        <v>1</v>
      </c>
      <c r="B285" s="118">
        <v>46396</v>
      </c>
      <c r="C285" s="119">
        <v>0</v>
      </c>
      <c r="D285" s="119">
        <v>1.6054044700000001</v>
      </c>
      <c r="E285" s="119">
        <v>2.1376292700000001</v>
      </c>
      <c r="F285" s="119">
        <v>0.35331786999999998</v>
      </c>
      <c r="G285" s="119">
        <v>0.74564668999999995</v>
      </c>
      <c r="H285" s="119">
        <v>0.99826088999999996</v>
      </c>
      <c r="I285" s="119">
        <v>1.7592497</v>
      </c>
      <c r="J285" s="119">
        <v>1.9882638100000001</v>
      </c>
      <c r="K285" s="119">
        <v>2.1405128000000002</v>
      </c>
      <c r="L285" s="119">
        <v>2.2786804799999998</v>
      </c>
      <c r="M285" s="2"/>
      <c r="N285" s="2"/>
      <c r="O285" s="2"/>
      <c r="P285" s="2"/>
      <c r="Q285" s="2"/>
      <c r="R285" s="2"/>
      <c r="S285" s="2"/>
      <c r="V285" s="77"/>
      <c r="W285" s="77"/>
      <c r="X285" s="77"/>
      <c r="Y285" s="77"/>
      <c r="Z285" s="77"/>
      <c r="AA285" s="77"/>
      <c r="AB285" s="77"/>
      <c r="AC285" s="77"/>
      <c r="AD285" s="77"/>
      <c r="AF285" s="80"/>
      <c r="AG285" s="80"/>
      <c r="AH285" s="80"/>
      <c r="AI285" s="80"/>
      <c r="AJ285" s="80"/>
      <c r="AK285" s="80"/>
      <c r="AL285" s="80"/>
      <c r="AM285" s="80"/>
      <c r="AN285" s="80"/>
      <c r="AO285" s="80"/>
    </row>
    <row r="286" spans="1:41" x14ac:dyDescent="0.35">
      <c r="A286" s="47">
        <v>1</v>
      </c>
      <c r="B286" s="118">
        <v>46397</v>
      </c>
      <c r="C286" s="119">
        <v>0</v>
      </c>
      <c r="D286" s="119">
        <v>1.6085480999999999</v>
      </c>
      <c r="E286" s="119">
        <v>2.1417701199999999</v>
      </c>
      <c r="F286" s="119">
        <v>0.35485080000000002</v>
      </c>
      <c r="G286" s="119">
        <v>0.74860320000000002</v>
      </c>
      <c r="H286" s="119">
        <v>1.0000967300000001</v>
      </c>
      <c r="I286" s="119">
        <v>1.76255685</v>
      </c>
      <c r="J286" s="119">
        <v>1.9922248300000001</v>
      </c>
      <c r="K286" s="119">
        <v>2.1447946299999998</v>
      </c>
      <c r="L286" s="119">
        <v>2.28323243</v>
      </c>
      <c r="M286" s="2"/>
      <c r="N286" s="2"/>
      <c r="O286" s="2"/>
      <c r="P286" s="2"/>
      <c r="Q286" s="2"/>
      <c r="R286" s="2"/>
      <c r="S286" s="2"/>
      <c r="V286" s="77"/>
      <c r="W286" s="77"/>
      <c r="X286" s="77"/>
      <c r="Y286" s="77"/>
      <c r="Z286" s="77"/>
      <c r="AA286" s="77"/>
      <c r="AB286" s="77"/>
      <c r="AC286" s="77"/>
      <c r="AD286" s="77"/>
      <c r="AF286" s="80"/>
      <c r="AG286" s="80"/>
      <c r="AH286" s="80"/>
      <c r="AI286" s="80"/>
      <c r="AJ286" s="80"/>
      <c r="AK286" s="80"/>
      <c r="AL286" s="80"/>
      <c r="AM286" s="80"/>
      <c r="AN286" s="80"/>
      <c r="AO286" s="80"/>
    </row>
    <row r="287" spans="1:41" x14ac:dyDescent="0.35">
      <c r="A287" s="47">
        <v>1</v>
      </c>
      <c r="B287" s="118">
        <v>46398</v>
      </c>
      <c r="C287" s="119">
        <v>1</v>
      </c>
      <c r="D287" s="119">
        <v>1.5040191199999999</v>
      </c>
      <c r="E287" s="119">
        <v>2.18284653</v>
      </c>
      <c r="F287" s="119">
        <v>0.83148005999999997</v>
      </c>
      <c r="G287" s="119">
        <v>1.25454285</v>
      </c>
      <c r="H287" s="119">
        <v>1.45728437</v>
      </c>
      <c r="I287" s="119">
        <v>1.8710104999999999</v>
      </c>
      <c r="J287" s="119">
        <v>2.1203201800000002</v>
      </c>
      <c r="K287" s="119">
        <v>2.4139224700000002</v>
      </c>
      <c r="L287" s="119">
        <v>2.55676514</v>
      </c>
      <c r="M287" s="2"/>
      <c r="N287" s="2"/>
      <c r="O287" s="2"/>
      <c r="P287" s="2"/>
      <c r="Q287" s="2"/>
      <c r="R287" s="2"/>
      <c r="S287" s="2"/>
      <c r="V287" s="77"/>
      <c r="W287" s="77"/>
      <c r="X287" s="77"/>
      <c r="Y287" s="77"/>
      <c r="Z287" s="77"/>
      <c r="AA287" s="77"/>
      <c r="AB287" s="77"/>
      <c r="AC287" s="77"/>
      <c r="AD287" s="77"/>
      <c r="AF287" s="80"/>
      <c r="AG287" s="80"/>
      <c r="AH287" s="80"/>
      <c r="AI287" s="80"/>
      <c r="AJ287" s="80"/>
      <c r="AK287" s="80"/>
      <c r="AL287" s="80"/>
      <c r="AM287" s="80"/>
      <c r="AN287" s="80"/>
      <c r="AO287" s="80"/>
    </row>
    <row r="288" spans="1:41" x14ac:dyDescent="0.35">
      <c r="A288" s="47">
        <v>1</v>
      </c>
      <c r="B288" s="118">
        <v>46399</v>
      </c>
      <c r="C288" s="119">
        <v>1</v>
      </c>
      <c r="D288" s="119">
        <v>1.50700492</v>
      </c>
      <c r="E288" s="119">
        <v>2.1870172000000001</v>
      </c>
      <c r="F288" s="119">
        <v>0.82523416999999999</v>
      </c>
      <c r="G288" s="119">
        <v>1.2585829399999999</v>
      </c>
      <c r="H288" s="119">
        <v>1.4602919999999999</v>
      </c>
      <c r="I288" s="119">
        <v>1.8745592499999999</v>
      </c>
      <c r="J288" s="119">
        <v>2.1244024000000001</v>
      </c>
      <c r="K288" s="119">
        <v>2.41852738</v>
      </c>
      <c r="L288" s="119">
        <v>2.5616838799999999</v>
      </c>
      <c r="M288" s="2"/>
      <c r="N288" s="2"/>
      <c r="O288" s="2"/>
      <c r="P288" s="2"/>
      <c r="Q288" s="2"/>
      <c r="R288" s="2"/>
      <c r="S288" s="2"/>
      <c r="V288" s="77"/>
      <c r="W288" s="77"/>
      <c r="X288" s="77"/>
      <c r="Y288" s="77"/>
      <c r="Z288" s="77"/>
      <c r="AA288" s="77"/>
      <c r="AB288" s="77"/>
      <c r="AC288" s="77"/>
      <c r="AD288" s="77"/>
      <c r="AF288" s="80"/>
      <c r="AG288" s="80"/>
      <c r="AH288" s="80"/>
      <c r="AI288" s="80"/>
      <c r="AJ288" s="80"/>
      <c r="AK288" s="80"/>
      <c r="AL288" s="80"/>
      <c r="AM288" s="80"/>
      <c r="AN288" s="80"/>
      <c r="AO288" s="80"/>
    </row>
    <row r="289" spans="1:41" x14ac:dyDescent="0.35">
      <c r="A289" s="47">
        <v>1</v>
      </c>
      <c r="B289" s="118">
        <v>46400</v>
      </c>
      <c r="C289" s="119">
        <v>1</v>
      </c>
      <c r="D289" s="119">
        <v>1.50938382</v>
      </c>
      <c r="E289" s="119">
        <v>2.1895022200000001</v>
      </c>
      <c r="F289" s="119">
        <v>0.81898828000000001</v>
      </c>
      <c r="G289" s="119">
        <v>1.2626230300000001</v>
      </c>
      <c r="H289" s="119">
        <v>1.46315347</v>
      </c>
      <c r="I289" s="119">
        <v>1.87701137</v>
      </c>
      <c r="J289" s="119">
        <v>2.1269528499999999</v>
      </c>
      <c r="K289" s="119">
        <v>2.42111835</v>
      </c>
      <c r="L289" s="119">
        <v>2.56425868</v>
      </c>
      <c r="M289" s="2"/>
      <c r="N289" s="2"/>
      <c r="O289" s="2"/>
      <c r="P289" s="2"/>
      <c r="Q289" s="2"/>
      <c r="R289" s="2"/>
      <c r="S289" s="2"/>
      <c r="V289" s="77"/>
      <c r="W289" s="77"/>
      <c r="X289" s="77"/>
      <c r="Y289" s="77"/>
      <c r="Z289" s="77"/>
      <c r="AA289" s="77"/>
      <c r="AB289" s="77"/>
      <c r="AC289" s="77"/>
      <c r="AD289" s="77"/>
      <c r="AF289" s="80"/>
      <c r="AG289" s="80"/>
      <c r="AH289" s="80"/>
      <c r="AI289" s="80"/>
      <c r="AJ289" s="80"/>
      <c r="AK289" s="80"/>
      <c r="AL289" s="80"/>
      <c r="AM289" s="80"/>
      <c r="AN289" s="80"/>
      <c r="AO289" s="80"/>
    </row>
    <row r="290" spans="1:41" x14ac:dyDescent="0.35">
      <c r="A290" s="47">
        <v>1</v>
      </c>
      <c r="B290" s="118">
        <v>46401</v>
      </c>
      <c r="C290" s="119">
        <v>1</v>
      </c>
      <c r="D290" s="119">
        <v>1.51171214</v>
      </c>
      <c r="E290" s="119">
        <v>2.1919644300000001</v>
      </c>
      <c r="F290" s="119">
        <v>0.81274239999999998</v>
      </c>
      <c r="G290" s="119">
        <v>1.26666312</v>
      </c>
      <c r="H290" s="119">
        <v>1.46593745</v>
      </c>
      <c r="I290" s="119">
        <v>1.8794248099999999</v>
      </c>
      <c r="J290" s="119">
        <v>2.12947423</v>
      </c>
      <c r="K290" s="119">
        <v>2.4236928600000001</v>
      </c>
      <c r="L290" s="119">
        <v>2.5668268799999998</v>
      </c>
      <c r="M290" s="2"/>
      <c r="N290" s="2"/>
      <c r="O290" s="2"/>
      <c r="P290" s="2"/>
      <c r="Q290" s="2"/>
      <c r="R290" s="2"/>
      <c r="S290" s="2"/>
      <c r="V290" s="77"/>
      <c r="W290" s="77"/>
      <c r="X290" s="77"/>
      <c r="Y290" s="77"/>
      <c r="Z290" s="77"/>
      <c r="AA290" s="77"/>
      <c r="AB290" s="77"/>
      <c r="AC290" s="77"/>
      <c r="AD290" s="77"/>
      <c r="AF290" s="80"/>
      <c r="AG290" s="80"/>
      <c r="AH290" s="80"/>
      <c r="AI290" s="80"/>
      <c r="AJ290" s="80"/>
      <c r="AK290" s="80"/>
      <c r="AL290" s="80"/>
      <c r="AM290" s="80"/>
      <c r="AN290" s="80"/>
      <c r="AO290" s="80"/>
    </row>
    <row r="291" spans="1:41" x14ac:dyDescent="0.35">
      <c r="A291" s="47">
        <v>1</v>
      </c>
      <c r="B291" s="118">
        <v>46402</v>
      </c>
      <c r="C291" s="119">
        <v>1</v>
      </c>
      <c r="D291" s="119">
        <v>1.5139892800000001</v>
      </c>
      <c r="E291" s="119">
        <v>2.1944035500000001</v>
      </c>
      <c r="F291" s="119">
        <v>0.80649651</v>
      </c>
      <c r="G291" s="119">
        <v>1.27070321</v>
      </c>
      <c r="H291" s="119">
        <v>1.46864298</v>
      </c>
      <c r="I291" s="119">
        <v>1.8817991000000001</v>
      </c>
      <c r="J291" s="119">
        <v>2.13196618</v>
      </c>
      <c r="K291" s="119">
        <v>2.4262506899999998</v>
      </c>
      <c r="L291" s="119">
        <v>2.5693884200000001</v>
      </c>
      <c r="M291" s="2"/>
      <c r="N291" s="2"/>
      <c r="O291" s="2"/>
      <c r="P291" s="2"/>
      <c r="Q291" s="2"/>
      <c r="R291" s="2"/>
      <c r="S291" s="2"/>
      <c r="V291" s="77"/>
      <c r="W291" s="77"/>
      <c r="X291" s="77"/>
      <c r="Y291" s="77"/>
      <c r="Z291" s="77"/>
      <c r="AA291" s="77"/>
      <c r="AB291" s="77"/>
      <c r="AC291" s="77"/>
      <c r="AD291" s="77"/>
      <c r="AF291" s="80"/>
      <c r="AG291" s="80"/>
      <c r="AH291" s="80"/>
      <c r="AI291" s="80"/>
      <c r="AJ291" s="80"/>
      <c r="AK291" s="80"/>
      <c r="AL291" s="80"/>
      <c r="AM291" s="80"/>
      <c r="AN291" s="80"/>
      <c r="AO291" s="80"/>
    </row>
    <row r="292" spans="1:41" x14ac:dyDescent="0.35">
      <c r="A292" s="47">
        <v>1</v>
      </c>
      <c r="B292" s="118">
        <v>46403</v>
      </c>
      <c r="C292" s="119">
        <v>0</v>
      </c>
      <c r="D292" s="119">
        <v>1.62249314</v>
      </c>
      <c r="E292" s="119">
        <v>2.1561337599999999</v>
      </c>
      <c r="F292" s="119">
        <v>0.36372695999999999</v>
      </c>
      <c r="G292" s="119">
        <v>0.76315909000000004</v>
      </c>
      <c r="H292" s="119">
        <v>1.00902534</v>
      </c>
      <c r="I292" s="119">
        <v>1.7753187800000001</v>
      </c>
      <c r="J292" s="119">
        <v>2.0066530400000002</v>
      </c>
      <c r="K292" s="119">
        <v>2.1591706099999999</v>
      </c>
      <c r="L292" s="119">
        <v>2.2975412899999998</v>
      </c>
      <c r="M292" s="2"/>
      <c r="N292" s="2"/>
      <c r="O292" s="2"/>
      <c r="P292" s="2"/>
      <c r="Q292" s="2"/>
      <c r="R292" s="2"/>
      <c r="S292" s="2"/>
      <c r="V292" s="77"/>
      <c r="W292" s="77"/>
      <c r="X292" s="77"/>
      <c r="Y292" s="77"/>
      <c r="Z292" s="77"/>
      <c r="AA292" s="77"/>
      <c r="AB292" s="77"/>
      <c r="AC292" s="77"/>
      <c r="AD292" s="77"/>
      <c r="AF292" s="80"/>
      <c r="AG292" s="80"/>
      <c r="AH292" s="80"/>
      <c r="AI292" s="80"/>
      <c r="AJ292" s="80"/>
      <c r="AK292" s="80"/>
      <c r="AL292" s="80"/>
      <c r="AM292" s="80"/>
      <c r="AN292" s="80"/>
      <c r="AO292" s="80"/>
    </row>
    <row r="293" spans="1:41" x14ac:dyDescent="0.35">
      <c r="A293" s="47">
        <v>1</v>
      </c>
      <c r="B293" s="118">
        <v>46404</v>
      </c>
      <c r="C293" s="119">
        <v>0</v>
      </c>
      <c r="D293" s="119">
        <v>1.6246504100000001</v>
      </c>
      <c r="E293" s="119">
        <v>2.1584559300000001</v>
      </c>
      <c r="F293" s="119">
        <v>0.3649385</v>
      </c>
      <c r="G293" s="119">
        <v>0.76293242000000006</v>
      </c>
      <c r="H293" s="119">
        <v>1.01038695</v>
      </c>
      <c r="I293" s="119">
        <v>1.77734075</v>
      </c>
      <c r="J293" s="119">
        <v>2.0089636400000002</v>
      </c>
      <c r="K293" s="119">
        <v>2.1615100200000001</v>
      </c>
      <c r="L293" s="119">
        <v>2.2999019600000001</v>
      </c>
      <c r="M293" s="2"/>
      <c r="N293" s="2"/>
      <c r="O293" s="2"/>
      <c r="P293" s="2"/>
      <c r="Q293" s="2"/>
      <c r="R293" s="2"/>
      <c r="S293" s="2"/>
      <c r="V293" s="77"/>
      <c r="W293" s="77"/>
      <c r="X293" s="77"/>
      <c r="Y293" s="77"/>
      <c r="Z293" s="77"/>
      <c r="AA293" s="77"/>
      <c r="AB293" s="77"/>
      <c r="AC293" s="77"/>
      <c r="AD293" s="77"/>
      <c r="AF293" s="80"/>
      <c r="AG293" s="80"/>
      <c r="AH293" s="80"/>
      <c r="AI293" s="80"/>
      <c r="AJ293" s="80"/>
      <c r="AK293" s="80"/>
      <c r="AL293" s="80"/>
      <c r="AM293" s="80"/>
      <c r="AN293" s="80"/>
      <c r="AO293" s="80"/>
    </row>
    <row r="294" spans="1:41" x14ac:dyDescent="0.35">
      <c r="A294" s="47">
        <v>1</v>
      </c>
      <c r="B294" s="118">
        <v>46405</v>
      </c>
      <c r="C294" s="119">
        <v>1</v>
      </c>
      <c r="D294" s="119">
        <v>1.5199504800000001</v>
      </c>
      <c r="E294" s="119">
        <v>2.1999164699999998</v>
      </c>
      <c r="F294" s="119">
        <v>0.82888052999999995</v>
      </c>
      <c r="G294" s="119">
        <v>1.2729036</v>
      </c>
      <c r="H294" s="119">
        <v>1.4762099399999999</v>
      </c>
      <c r="I294" s="119">
        <v>1.8876238999999999</v>
      </c>
      <c r="J294" s="119">
        <v>2.1377588900000002</v>
      </c>
      <c r="K294" s="119">
        <v>2.4318245200000002</v>
      </c>
      <c r="L294" s="119">
        <v>2.5746947800000002</v>
      </c>
      <c r="M294" s="2"/>
      <c r="N294" s="2"/>
      <c r="O294" s="2"/>
      <c r="P294" s="2"/>
      <c r="Q294" s="2"/>
      <c r="R294" s="2"/>
      <c r="S294" s="2"/>
      <c r="V294" s="77"/>
      <c r="W294" s="77"/>
      <c r="X294" s="77"/>
      <c r="Y294" s="77"/>
      <c r="Z294" s="77"/>
      <c r="AA294" s="77"/>
      <c r="AB294" s="77"/>
      <c r="AC294" s="77"/>
      <c r="AD294" s="77"/>
      <c r="AF294" s="80"/>
      <c r="AG294" s="80"/>
      <c r="AH294" s="80"/>
      <c r="AI294" s="80"/>
      <c r="AJ294" s="80"/>
      <c r="AK294" s="80"/>
      <c r="AL294" s="80"/>
      <c r="AM294" s="80"/>
      <c r="AN294" s="80"/>
      <c r="AO294" s="80"/>
    </row>
    <row r="295" spans="1:41" x14ac:dyDescent="0.35">
      <c r="A295" s="47">
        <v>1</v>
      </c>
      <c r="B295" s="118">
        <v>46406</v>
      </c>
      <c r="C295" s="119">
        <v>1</v>
      </c>
      <c r="D295" s="119">
        <v>1.5220167099999999</v>
      </c>
      <c r="E295" s="119">
        <v>2.2022604399999999</v>
      </c>
      <c r="F295" s="119">
        <v>0.83634187000000004</v>
      </c>
      <c r="G295" s="119">
        <v>1.27363706</v>
      </c>
      <c r="H295" s="119">
        <v>1.4785923000000001</v>
      </c>
      <c r="I295" s="119">
        <v>1.88983685</v>
      </c>
      <c r="J295" s="119">
        <v>2.1401295899999999</v>
      </c>
      <c r="K295" s="119">
        <v>2.4343136699999999</v>
      </c>
      <c r="L295" s="119">
        <v>2.5772288400000001</v>
      </c>
      <c r="M295" s="2"/>
      <c r="N295" s="2"/>
      <c r="O295" s="2"/>
      <c r="P295" s="2"/>
      <c r="Q295" s="2"/>
      <c r="R295" s="2"/>
      <c r="S295" s="2"/>
      <c r="V295" s="77"/>
      <c r="W295" s="77"/>
      <c r="X295" s="77"/>
      <c r="Y295" s="77"/>
      <c r="Z295" s="77"/>
      <c r="AA295" s="77"/>
      <c r="AB295" s="77"/>
      <c r="AC295" s="77"/>
      <c r="AD295" s="77"/>
      <c r="AF295" s="80"/>
      <c r="AG295" s="80"/>
      <c r="AH295" s="80"/>
      <c r="AI295" s="80"/>
      <c r="AJ295" s="80"/>
      <c r="AK295" s="80"/>
      <c r="AL295" s="80"/>
      <c r="AM295" s="80"/>
      <c r="AN295" s="80"/>
      <c r="AO295" s="80"/>
    </row>
    <row r="296" spans="1:41" x14ac:dyDescent="0.35">
      <c r="A296" s="47">
        <v>1</v>
      </c>
      <c r="B296" s="118">
        <v>46407</v>
      </c>
      <c r="C296" s="119">
        <v>1</v>
      </c>
      <c r="D296" s="119">
        <v>1.52402868</v>
      </c>
      <c r="E296" s="119">
        <v>2.2045799399999999</v>
      </c>
      <c r="F296" s="119">
        <v>0.84380321000000003</v>
      </c>
      <c r="G296" s="119">
        <v>1.27437052</v>
      </c>
      <c r="H296" s="119">
        <v>1.4808915</v>
      </c>
      <c r="I296" s="119">
        <v>1.8920082899999999</v>
      </c>
      <c r="J296" s="119">
        <v>2.1424691</v>
      </c>
      <c r="K296" s="119">
        <v>2.4367851599999999</v>
      </c>
      <c r="L296" s="119">
        <v>2.5797558299999999</v>
      </c>
      <c r="M296" s="2"/>
      <c r="N296" s="2"/>
      <c r="O296" s="2"/>
      <c r="P296" s="2"/>
      <c r="Q296" s="2"/>
      <c r="R296" s="2"/>
      <c r="S296" s="2"/>
      <c r="V296" s="77"/>
      <c r="W296" s="77"/>
      <c r="X296" s="77"/>
      <c r="Y296" s="77"/>
      <c r="Z296" s="77"/>
      <c r="AA296" s="77"/>
      <c r="AB296" s="77"/>
      <c r="AC296" s="77"/>
      <c r="AD296" s="77"/>
      <c r="AF296" s="80"/>
      <c r="AG296" s="80"/>
      <c r="AH296" s="80"/>
      <c r="AI296" s="80"/>
      <c r="AJ296" s="80"/>
      <c r="AK296" s="80"/>
      <c r="AL296" s="80"/>
      <c r="AM296" s="80"/>
      <c r="AN296" s="80"/>
      <c r="AO296" s="80"/>
    </row>
    <row r="297" spans="1:41" x14ac:dyDescent="0.35">
      <c r="A297" s="47">
        <v>1</v>
      </c>
      <c r="B297" s="118">
        <v>46408</v>
      </c>
      <c r="C297" s="119">
        <v>1</v>
      </c>
      <c r="D297" s="119">
        <v>1.5254288300000001</v>
      </c>
      <c r="E297" s="119">
        <v>2.2052115699999999</v>
      </c>
      <c r="F297" s="119">
        <v>0.85126455000000001</v>
      </c>
      <c r="G297" s="119">
        <v>1.2751039799999999</v>
      </c>
      <c r="H297" s="119">
        <v>1.4830369999999999</v>
      </c>
      <c r="I297" s="119">
        <v>1.8930793400000001</v>
      </c>
      <c r="J297" s="119">
        <v>2.1432740099999998</v>
      </c>
      <c r="K297" s="119">
        <v>2.43724111</v>
      </c>
      <c r="L297" s="119">
        <v>2.5799382300000002</v>
      </c>
      <c r="M297" s="2"/>
      <c r="N297" s="2"/>
      <c r="O297" s="2"/>
      <c r="P297" s="2"/>
      <c r="Q297" s="2"/>
      <c r="R297" s="2"/>
      <c r="S297" s="2"/>
      <c r="V297" s="77"/>
      <c r="W297" s="77"/>
      <c r="X297" s="77"/>
      <c r="Y297" s="77"/>
      <c r="Z297" s="77"/>
      <c r="AA297" s="77"/>
      <c r="AB297" s="77"/>
      <c r="AC297" s="77"/>
      <c r="AD297" s="77"/>
      <c r="AF297" s="80"/>
      <c r="AG297" s="80"/>
      <c r="AH297" s="80"/>
      <c r="AI297" s="80"/>
      <c r="AJ297" s="80"/>
      <c r="AK297" s="80"/>
      <c r="AL297" s="80"/>
      <c r="AM297" s="80"/>
      <c r="AN297" s="80"/>
      <c r="AO297" s="80"/>
    </row>
    <row r="298" spans="1:41" x14ac:dyDescent="0.35">
      <c r="A298" s="47">
        <v>1</v>
      </c>
      <c r="B298" s="118">
        <v>46409</v>
      </c>
      <c r="C298" s="119">
        <v>1</v>
      </c>
      <c r="D298" s="119">
        <v>1.5262165400000001</v>
      </c>
      <c r="E298" s="119">
        <v>2.2041550600000002</v>
      </c>
      <c r="F298" s="119">
        <v>0.85872588999999999</v>
      </c>
      <c r="G298" s="119">
        <v>1.2758374400000001</v>
      </c>
      <c r="H298" s="119">
        <v>1.4850278400000001</v>
      </c>
      <c r="I298" s="119">
        <v>1.89304954</v>
      </c>
      <c r="J298" s="119">
        <v>2.1425439700000002</v>
      </c>
      <c r="K298" s="119">
        <v>2.43568132</v>
      </c>
      <c r="L298" s="119">
        <v>2.5777759499999999</v>
      </c>
      <c r="M298" s="2"/>
      <c r="N298" s="2"/>
      <c r="O298" s="2"/>
      <c r="P298" s="2"/>
      <c r="Q298" s="2"/>
      <c r="R298" s="2"/>
      <c r="S298" s="2"/>
      <c r="V298" s="77"/>
      <c r="W298" s="77"/>
      <c r="X298" s="77"/>
      <c r="Y298" s="77"/>
      <c r="Z298" s="77"/>
      <c r="AA298" s="77"/>
      <c r="AB298" s="77"/>
      <c r="AC298" s="77"/>
      <c r="AD298" s="77"/>
      <c r="AF298" s="80"/>
      <c r="AG298" s="80"/>
      <c r="AH298" s="80"/>
      <c r="AI298" s="80"/>
      <c r="AJ298" s="80"/>
      <c r="AK298" s="80"/>
      <c r="AL298" s="80"/>
      <c r="AM298" s="80"/>
      <c r="AN298" s="80"/>
      <c r="AO298" s="80"/>
    </row>
    <row r="299" spans="1:41" x14ac:dyDescent="0.35">
      <c r="A299" s="47">
        <v>1</v>
      </c>
      <c r="B299" s="118">
        <v>46410</v>
      </c>
      <c r="C299" s="119">
        <v>0</v>
      </c>
      <c r="D299" s="119">
        <v>1.6339092399999999</v>
      </c>
      <c r="E299" s="119">
        <v>2.1652263600000001</v>
      </c>
      <c r="F299" s="119">
        <v>0.37220773000000001</v>
      </c>
      <c r="G299" s="119">
        <v>0.76157235999999995</v>
      </c>
      <c r="H299" s="119">
        <v>1.01685724</v>
      </c>
      <c r="I299" s="119">
        <v>1.7844958099999999</v>
      </c>
      <c r="J299" s="119">
        <v>2.0163724900000002</v>
      </c>
      <c r="K299" s="119">
        <v>2.1678651699999998</v>
      </c>
      <c r="L299" s="119">
        <v>2.3053385199999998</v>
      </c>
      <c r="M299" s="2"/>
      <c r="N299" s="2"/>
      <c r="O299" s="2"/>
      <c r="P299" s="2"/>
      <c r="Q299" s="2"/>
      <c r="R299" s="2"/>
      <c r="S299" s="2"/>
      <c r="V299" s="77"/>
      <c r="W299" s="77"/>
      <c r="X299" s="77"/>
      <c r="Y299" s="77"/>
      <c r="Z299" s="77"/>
      <c r="AA299" s="77"/>
      <c r="AB299" s="77"/>
      <c r="AC299" s="77"/>
      <c r="AD299" s="77"/>
      <c r="AF299" s="80"/>
      <c r="AG299" s="80"/>
      <c r="AH299" s="80"/>
      <c r="AI299" s="80"/>
      <c r="AJ299" s="80"/>
      <c r="AK299" s="80"/>
      <c r="AL299" s="80"/>
      <c r="AM299" s="80"/>
      <c r="AN299" s="80"/>
      <c r="AO299" s="80"/>
    </row>
    <row r="300" spans="1:41" x14ac:dyDescent="0.35">
      <c r="A300" s="47">
        <v>1</v>
      </c>
      <c r="B300" s="118">
        <v>46411</v>
      </c>
      <c r="C300" s="119">
        <v>0</v>
      </c>
      <c r="D300" s="119">
        <v>1.63439438</v>
      </c>
      <c r="E300" s="119">
        <v>2.16404044</v>
      </c>
      <c r="F300" s="119">
        <v>0.37341927000000003</v>
      </c>
      <c r="G300" s="119">
        <v>0.76134568000000002</v>
      </c>
      <c r="H300" s="119">
        <v>1.01749819</v>
      </c>
      <c r="I300" s="119">
        <v>1.78413654</v>
      </c>
      <c r="J300" s="119">
        <v>2.01555171</v>
      </c>
      <c r="K300" s="119">
        <v>2.1664216500000002</v>
      </c>
      <c r="L300" s="119">
        <v>2.3033600999999999</v>
      </c>
      <c r="M300" s="2"/>
      <c r="N300" s="2"/>
      <c r="O300" s="2"/>
      <c r="P300" s="2"/>
      <c r="Q300" s="2"/>
      <c r="R300" s="2"/>
      <c r="S300" s="2"/>
      <c r="V300" s="77"/>
      <c r="W300" s="77"/>
      <c r="X300" s="77"/>
      <c r="Y300" s="77"/>
      <c r="Z300" s="77"/>
      <c r="AA300" s="77"/>
      <c r="AB300" s="77"/>
      <c r="AC300" s="77"/>
      <c r="AD300" s="77"/>
      <c r="AF300" s="80"/>
      <c r="AG300" s="80"/>
      <c r="AH300" s="80"/>
      <c r="AI300" s="80"/>
      <c r="AJ300" s="80"/>
      <c r="AK300" s="80"/>
      <c r="AL300" s="80"/>
      <c r="AM300" s="80"/>
      <c r="AN300" s="80"/>
      <c r="AO300" s="80"/>
    </row>
    <row r="301" spans="1:41" x14ac:dyDescent="0.35">
      <c r="A301" s="47">
        <v>1</v>
      </c>
      <c r="B301" s="118">
        <v>46412</v>
      </c>
      <c r="C301" s="119">
        <v>1</v>
      </c>
      <c r="D301" s="119">
        <v>1.52935457</v>
      </c>
      <c r="E301" s="119">
        <v>2.20415882</v>
      </c>
      <c r="F301" s="119">
        <v>0.88110991999999999</v>
      </c>
      <c r="G301" s="119">
        <v>1.2780378299999999</v>
      </c>
      <c r="H301" s="119">
        <v>1.49062016</v>
      </c>
      <c r="I301" s="119">
        <v>1.89481762</v>
      </c>
      <c r="J301" s="119">
        <v>2.1431650699999998</v>
      </c>
      <c r="K301" s="119">
        <v>2.43488689</v>
      </c>
      <c r="L301" s="119">
        <v>2.57591986</v>
      </c>
      <c r="M301" s="2"/>
      <c r="N301" s="2"/>
      <c r="O301" s="2"/>
      <c r="P301" s="2"/>
      <c r="Q301" s="2"/>
      <c r="R301" s="2"/>
      <c r="S301" s="2"/>
      <c r="V301" s="77"/>
      <c r="W301" s="77"/>
      <c r="X301" s="77"/>
      <c r="Y301" s="77"/>
      <c r="Z301" s="77"/>
      <c r="AA301" s="77"/>
      <c r="AB301" s="77"/>
      <c r="AC301" s="77"/>
      <c r="AD301" s="77"/>
      <c r="AF301" s="80"/>
      <c r="AG301" s="80"/>
      <c r="AH301" s="80"/>
      <c r="AI301" s="80"/>
      <c r="AJ301" s="80"/>
      <c r="AK301" s="80"/>
      <c r="AL301" s="80"/>
      <c r="AM301" s="80"/>
      <c r="AN301" s="80"/>
      <c r="AO301" s="80"/>
    </row>
    <row r="302" spans="1:41" x14ac:dyDescent="0.35">
      <c r="A302" s="47">
        <v>1</v>
      </c>
      <c r="B302" s="118">
        <v>46413</v>
      </c>
      <c r="C302" s="119">
        <v>1</v>
      </c>
      <c r="D302" s="119">
        <v>1.5299142999999999</v>
      </c>
      <c r="E302" s="119">
        <v>2.20299946</v>
      </c>
      <c r="F302" s="119">
        <v>0.88857125999999997</v>
      </c>
      <c r="G302" s="119">
        <v>1.2787712899999999</v>
      </c>
      <c r="H302" s="119">
        <v>1.4922616500000001</v>
      </c>
      <c r="I302" s="119">
        <v>1.8946134100000001</v>
      </c>
      <c r="J302" s="119">
        <v>2.14230396</v>
      </c>
      <c r="K302" s="119">
        <v>2.4332528600000001</v>
      </c>
      <c r="L302" s="119">
        <v>2.5737278799999999</v>
      </c>
      <c r="M302" s="2"/>
      <c r="N302" s="2"/>
      <c r="O302" s="2"/>
      <c r="P302" s="2"/>
      <c r="Q302" s="2"/>
      <c r="R302" s="2"/>
      <c r="S302" s="2"/>
      <c r="V302" s="77"/>
      <c r="W302" s="77"/>
      <c r="X302" s="77"/>
      <c r="Y302" s="77"/>
      <c r="Z302" s="77"/>
      <c r="AA302" s="77"/>
      <c r="AB302" s="77"/>
      <c r="AC302" s="77"/>
      <c r="AD302" s="77"/>
      <c r="AF302" s="80"/>
      <c r="AG302" s="80"/>
      <c r="AH302" s="80"/>
      <c r="AI302" s="80"/>
      <c r="AJ302" s="80"/>
      <c r="AK302" s="80"/>
      <c r="AL302" s="80"/>
      <c r="AM302" s="80"/>
      <c r="AN302" s="80"/>
      <c r="AO302" s="80"/>
    </row>
    <row r="303" spans="1:41" x14ac:dyDescent="0.35">
      <c r="A303" s="47">
        <v>1</v>
      </c>
      <c r="B303" s="118">
        <v>46414</v>
      </c>
      <c r="C303" s="119">
        <v>1</v>
      </c>
      <c r="D303" s="119">
        <v>1.5304155500000001</v>
      </c>
      <c r="E303" s="119">
        <v>2.2018137200000001</v>
      </c>
      <c r="F303" s="119">
        <v>0.89603259999999996</v>
      </c>
      <c r="G303" s="119">
        <v>1.2795047500000001</v>
      </c>
      <c r="H303" s="119">
        <v>1.4938135299999999</v>
      </c>
      <c r="I303" s="119">
        <v>1.89436447</v>
      </c>
      <c r="J303" s="119">
        <v>2.1414092400000002</v>
      </c>
      <c r="K303" s="119">
        <v>2.4315997899999999</v>
      </c>
      <c r="L303" s="119">
        <v>2.5715282899999998</v>
      </c>
      <c r="M303" s="2"/>
      <c r="N303" s="2"/>
      <c r="O303" s="2"/>
      <c r="P303" s="2"/>
      <c r="Q303" s="2"/>
      <c r="R303" s="2"/>
      <c r="S303" s="2"/>
      <c r="V303" s="77"/>
      <c r="W303" s="77"/>
      <c r="X303" s="77"/>
      <c r="Y303" s="77"/>
      <c r="Z303" s="77"/>
      <c r="AA303" s="77"/>
      <c r="AB303" s="77"/>
      <c r="AC303" s="77"/>
      <c r="AD303" s="77"/>
      <c r="AF303" s="80"/>
      <c r="AG303" s="80"/>
      <c r="AH303" s="80"/>
      <c r="AI303" s="80"/>
      <c r="AJ303" s="80"/>
      <c r="AK303" s="80"/>
      <c r="AL303" s="80"/>
      <c r="AM303" s="80"/>
      <c r="AN303" s="80"/>
      <c r="AO303" s="80"/>
    </row>
    <row r="304" spans="1:41" x14ac:dyDescent="0.35">
      <c r="A304" s="47">
        <v>1</v>
      </c>
      <c r="B304" s="118">
        <v>46415</v>
      </c>
      <c r="C304" s="119">
        <v>1</v>
      </c>
      <c r="D304" s="119">
        <v>1.5308577400000001</v>
      </c>
      <c r="E304" s="119">
        <v>2.20060134</v>
      </c>
      <c r="F304" s="119">
        <v>0.90349394000000005</v>
      </c>
      <c r="G304" s="119">
        <v>1.28023821</v>
      </c>
      <c r="H304" s="119">
        <v>1.49527492</v>
      </c>
      <c r="I304" s="119">
        <v>1.89407036</v>
      </c>
      <c r="J304" s="119">
        <v>2.1404805699999998</v>
      </c>
      <c r="K304" s="119">
        <v>2.4299274799999999</v>
      </c>
      <c r="L304" s="119">
        <v>2.569321</v>
      </c>
      <c r="M304" s="2"/>
      <c r="N304" s="2"/>
      <c r="O304" s="2"/>
      <c r="P304" s="2"/>
      <c r="Q304" s="2"/>
      <c r="R304" s="2"/>
      <c r="S304" s="2"/>
      <c r="V304" s="77"/>
      <c r="W304" s="77"/>
      <c r="X304" s="77"/>
      <c r="Y304" s="77"/>
      <c r="Z304" s="77"/>
      <c r="AA304" s="77"/>
      <c r="AB304" s="77"/>
      <c r="AC304" s="77"/>
      <c r="AD304" s="77"/>
      <c r="AF304" s="80"/>
      <c r="AG304" s="80"/>
      <c r="AH304" s="80"/>
      <c r="AI304" s="80"/>
      <c r="AJ304" s="80"/>
      <c r="AK304" s="80"/>
      <c r="AL304" s="80"/>
      <c r="AM304" s="80"/>
      <c r="AN304" s="80"/>
      <c r="AO304" s="80"/>
    </row>
    <row r="305" spans="1:41" x14ac:dyDescent="0.35">
      <c r="A305" s="47">
        <v>1</v>
      </c>
      <c r="B305" s="118">
        <v>46416</v>
      </c>
      <c r="C305" s="119">
        <v>1</v>
      </c>
      <c r="D305" s="119">
        <v>1.53124031</v>
      </c>
      <c r="E305" s="119">
        <v>2.1993620599999999</v>
      </c>
      <c r="F305" s="119">
        <v>0.91095528000000003</v>
      </c>
      <c r="G305" s="119">
        <v>1.28097167</v>
      </c>
      <c r="H305" s="119">
        <v>1.4966449500000001</v>
      </c>
      <c r="I305" s="119">
        <v>1.89373064</v>
      </c>
      <c r="J305" s="119">
        <v>2.1395176199999999</v>
      </c>
      <c r="K305" s="119">
        <v>2.4282357600000002</v>
      </c>
      <c r="L305" s="119">
        <v>2.5671059500000002</v>
      </c>
      <c r="M305" s="2"/>
      <c r="N305" s="2"/>
      <c r="O305" s="2"/>
      <c r="P305" s="2"/>
      <c r="Q305" s="2"/>
      <c r="R305" s="2"/>
      <c r="S305" s="2"/>
      <c r="V305" s="77"/>
      <c r="W305" s="77"/>
      <c r="X305" s="77"/>
      <c r="Y305" s="77"/>
      <c r="Z305" s="77"/>
      <c r="AA305" s="77"/>
      <c r="AB305" s="77"/>
      <c r="AC305" s="77"/>
      <c r="AD305" s="77"/>
      <c r="AF305" s="80"/>
      <c r="AG305" s="80"/>
      <c r="AH305" s="80"/>
      <c r="AI305" s="80"/>
      <c r="AJ305" s="80"/>
      <c r="AK305" s="80"/>
      <c r="AL305" s="80"/>
      <c r="AM305" s="80"/>
      <c r="AN305" s="80"/>
      <c r="AO305" s="80"/>
    </row>
    <row r="306" spans="1:41" x14ac:dyDescent="0.35">
      <c r="A306" s="47">
        <v>1</v>
      </c>
      <c r="B306" s="118">
        <v>46417</v>
      </c>
      <c r="C306" s="119">
        <v>0</v>
      </c>
      <c r="D306" s="119">
        <v>1.6361696999999999</v>
      </c>
      <c r="E306" s="119">
        <v>2.1564366800000001</v>
      </c>
      <c r="F306" s="119">
        <v>0.38068850999999998</v>
      </c>
      <c r="G306" s="119">
        <v>0.75998562000000003</v>
      </c>
      <c r="H306" s="119">
        <v>1.0204833600000001</v>
      </c>
      <c r="I306" s="119">
        <v>1.7812664199999999</v>
      </c>
      <c r="J306" s="119">
        <v>2.0099868500000002</v>
      </c>
      <c r="K306" s="119">
        <v>2.1573755800000001</v>
      </c>
      <c r="L306" s="119">
        <v>2.2913253199999999</v>
      </c>
      <c r="M306" s="2"/>
      <c r="N306" s="2"/>
      <c r="O306" s="2"/>
      <c r="P306" s="2"/>
      <c r="Q306" s="2"/>
      <c r="R306" s="2"/>
      <c r="S306" s="2"/>
      <c r="V306" s="77"/>
      <c r="W306" s="77"/>
      <c r="X306" s="77"/>
      <c r="Y306" s="77"/>
      <c r="Z306" s="77"/>
      <c r="AA306" s="77"/>
      <c r="AB306" s="77"/>
      <c r="AC306" s="77"/>
      <c r="AD306" s="77"/>
      <c r="AF306" s="80"/>
      <c r="AG306" s="80"/>
      <c r="AH306" s="80"/>
      <c r="AI306" s="80"/>
      <c r="AJ306" s="80"/>
      <c r="AK306" s="80"/>
      <c r="AL306" s="80"/>
      <c r="AM306" s="80"/>
      <c r="AN306" s="80"/>
      <c r="AO306" s="80"/>
    </row>
    <row r="307" spans="1:41" x14ac:dyDescent="0.35">
      <c r="A307" s="47">
        <v>1</v>
      </c>
      <c r="B307" s="118">
        <v>46418</v>
      </c>
      <c r="C307" s="119">
        <v>0</v>
      </c>
      <c r="D307" s="119">
        <v>1.6356135199999999</v>
      </c>
      <c r="E307" s="119">
        <v>2.1534084600000001</v>
      </c>
      <c r="F307" s="119">
        <v>0.38190004999999999</v>
      </c>
      <c r="G307" s="119">
        <v>0.75975895000000004</v>
      </c>
      <c r="H307" s="119">
        <v>1.02060843</v>
      </c>
      <c r="I307" s="119">
        <v>1.7795873900000001</v>
      </c>
      <c r="J307" s="119">
        <v>2.0074846599999998</v>
      </c>
      <c r="K307" s="119">
        <v>2.1539710099999998</v>
      </c>
      <c r="L307" s="119">
        <v>2.28714767</v>
      </c>
      <c r="M307" s="2"/>
      <c r="N307" s="2"/>
      <c r="O307" s="2"/>
      <c r="P307" s="2"/>
      <c r="Q307" s="2"/>
      <c r="R307" s="2"/>
      <c r="S307" s="2"/>
      <c r="V307" s="77"/>
      <c r="W307" s="77"/>
      <c r="X307" s="77"/>
      <c r="Y307" s="77"/>
      <c r="Z307" s="77"/>
      <c r="AA307" s="77"/>
      <c r="AB307" s="77"/>
      <c r="AC307" s="77"/>
      <c r="AD307" s="77"/>
      <c r="AF307" s="80"/>
      <c r="AG307" s="80"/>
      <c r="AH307" s="80"/>
      <c r="AI307" s="80"/>
      <c r="AJ307" s="80"/>
      <c r="AK307" s="80"/>
      <c r="AL307" s="80"/>
      <c r="AM307" s="80"/>
      <c r="AN307" s="80"/>
      <c r="AO307" s="80"/>
    </row>
    <row r="308" spans="1:41" x14ac:dyDescent="0.35">
      <c r="A308" s="47">
        <v>2</v>
      </c>
      <c r="B308" s="118">
        <v>46419</v>
      </c>
      <c r="C308" s="119">
        <v>1</v>
      </c>
      <c r="D308" s="119">
        <v>1.53091087</v>
      </c>
      <c r="E308" s="119">
        <v>2.19215414</v>
      </c>
      <c r="F308" s="119">
        <v>0.92587796</v>
      </c>
      <c r="G308" s="119">
        <v>1.2824386000000001</v>
      </c>
      <c r="H308" s="119">
        <v>1.50005915</v>
      </c>
      <c r="I308" s="119">
        <v>1.8903167599999999</v>
      </c>
      <c r="J308" s="119">
        <v>2.1334138399999998</v>
      </c>
      <c r="K308" s="119">
        <v>2.4190469700000001</v>
      </c>
      <c r="L308" s="119">
        <v>2.5557385699999999</v>
      </c>
      <c r="M308" s="2"/>
      <c r="N308" s="2"/>
      <c r="O308" s="2"/>
      <c r="P308" s="2"/>
      <c r="Q308" s="2"/>
      <c r="R308" s="2"/>
      <c r="S308" s="2"/>
      <c r="V308" s="77"/>
      <c r="W308" s="77"/>
      <c r="X308" s="77"/>
      <c r="Y308" s="77"/>
      <c r="Z308" s="77"/>
      <c r="AA308" s="77"/>
      <c r="AB308" s="77"/>
      <c r="AC308" s="77"/>
      <c r="AD308" s="77"/>
      <c r="AF308" s="80"/>
      <c r="AG308" s="80"/>
      <c r="AH308" s="80"/>
      <c r="AI308" s="80"/>
      <c r="AJ308" s="80"/>
      <c r="AK308" s="80"/>
      <c r="AL308" s="80"/>
      <c r="AM308" s="80"/>
      <c r="AN308" s="80"/>
      <c r="AO308" s="80"/>
    </row>
    <row r="309" spans="1:41" x14ac:dyDescent="0.35">
      <c r="A309" s="47">
        <v>2</v>
      </c>
      <c r="B309" s="118">
        <v>46420</v>
      </c>
      <c r="C309" s="119">
        <v>1</v>
      </c>
      <c r="D309" s="119">
        <v>1.52993559</v>
      </c>
      <c r="E309" s="119">
        <v>2.18747859</v>
      </c>
      <c r="F309" s="119">
        <v>0.93333929999999998</v>
      </c>
      <c r="G309" s="119">
        <v>1.2831720600000001</v>
      </c>
      <c r="H309" s="119">
        <v>1.5009161</v>
      </c>
      <c r="I309" s="119">
        <v>1.8876736000000001</v>
      </c>
      <c r="J309" s="119">
        <v>2.1293045500000001</v>
      </c>
      <c r="K309" s="119">
        <v>2.4132804700000001</v>
      </c>
      <c r="L309" s="119">
        <v>2.5488168400000002</v>
      </c>
      <c r="M309" s="2"/>
      <c r="N309" s="2"/>
      <c r="O309" s="2"/>
      <c r="P309" s="2"/>
      <c r="Q309" s="2"/>
      <c r="R309" s="2"/>
      <c r="S309" s="2"/>
      <c r="V309" s="77"/>
      <c r="W309" s="77"/>
      <c r="X309" s="77"/>
      <c r="Y309" s="77"/>
      <c r="Z309" s="77"/>
      <c r="AA309" s="77"/>
      <c r="AB309" s="77"/>
      <c r="AC309" s="77"/>
      <c r="AD309" s="77"/>
      <c r="AF309" s="80"/>
      <c r="AG309" s="80"/>
      <c r="AH309" s="80"/>
      <c r="AI309" s="80"/>
      <c r="AJ309" s="80"/>
      <c r="AK309" s="80"/>
      <c r="AL309" s="80"/>
      <c r="AM309" s="80"/>
      <c r="AN309" s="80"/>
      <c r="AO309" s="80"/>
    </row>
    <row r="310" spans="1:41" x14ac:dyDescent="0.35">
      <c r="A310" s="47">
        <v>2</v>
      </c>
      <c r="B310" s="118">
        <v>46421</v>
      </c>
      <c r="C310" s="119">
        <v>1</v>
      </c>
      <c r="D310" s="119">
        <v>1.52889802</v>
      </c>
      <c r="E310" s="119">
        <v>2.1827749399999998</v>
      </c>
      <c r="F310" s="119">
        <v>0.94080063999999997</v>
      </c>
      <c r="G310" s="119">
        <v>1.28390552</v>
      </c>
      <c r="H310" s="119">
        <v>1.50167758</v>
      </c>
      <c r="I310" s="119">
        <v>1.8849827699999999</v>
      </c>
      <c r="J310" s="119">
        <v>2.1251594300000001</v>
      </c>
      <c r="K310" s="119">
        <v>2.4074936899999999</v>
      </c>
      <c r="L310" s="119">
        <v>2.541887</v>
      </c>
      <c r="M310" s="2"/>
      <c r="N310" s="2"/>
      <c r="O310" s="2"/>
      <c r="P310" s="2"/>
      <c r="Q310" s="2"/>
      <c r="R310" s="2"/>
      <c r="S310" s="2"/>
      <c r="V310" s="77"/>
      <c r="W310" s="77"/>
      <c r="X310" s="77"/>
      <c r="Y310" s="77"/>
      <c r="Z310" s="77"/>
      <c r="AA310" s="77"/>
      <c r="AB310" s="77"/>
      <c r="AC310" s="77"/>
      <c r="AD310" s="77"/>
      <c r="AF310" s="80"/>
      <c r="AG310" s="80"/>
      <c r="AH310" s="80"/>
      <c r="AI310" s="80"/>
      <c r="AJ310" s="80"/>
      <c r="AK310" s="80"/>
      <c r="AL310" s="80"/>
      <c r="AM310" s="80"/>
      <c r="AN310" s="80"/>
      <c r="AO310" s="80"/>
    </row>
    <row r="311" spans="1:41" x14ac:dyDescent="0.35">
      <c r="A311" s="47">
        <v>2</v>
      </c>
      <c r="B311" s="118">
        <v>46422</v>
      </c>
      <c r="C311" s="119">
        <v>1</v>
      </c>
      <c r="D311" s="119">
        <v>1.52835458</v>
      </c>
      <c r="E311" s="119">
        <v>2.17970606</v>
      </c>
      <c r="F311" s="119">
        <v>0.94826197999999995</v>
      </c>
      <c r="G311" s="119">
        <v>1.28463898</v>
      </c>
      <c r="H311" s="119">
        <v>1.5024124599999999</v>
      </c>
      <c r="I311" s="119">
        <v>1.8833023200000001</v>
      </c>
      <c r="J311" s="119">
        <v>2.1224812700000002</v>
      </c>
      <c r="K311" s="119">
        <v>2.4036841199999999</v>
      </c>
      <c r="L311" s="119">
        <v>2.53728642</v>
      </c>
      <c r="M311" s="2"/>
      <c r="N311" s="2"/>
      <c r="O311" s="2"/>
      <c r="P311" s="2"/>
      <c r="Q311" s="2"/>
      <c r="R311" s="2"/>
      <c r="S311" s="2"/>
      <c r="V311" s="77"/>
      <c r="W311" s="77"/>
      <c r="X311" s="77"/>
      <c r="Y311" s="77"/>
      <c r="Z311" s="77"/>
      <c r="AA311" s="77"/>
      <c r="AB311" s="77"/>
      <c r="AC311" s="77"/>
      <c r="AD311" s="77"/>
      <c r="AF311" s="80"/>
      <c r="AG311" s="80"/>
      <c r="AH311" s="80"/>
      <c r="AI311" s="80"/>
      <c r="AJ311" s="80"/>
      <c r="AK311" s="80"/>
      <c r="AL311" s="80"/>
      <c r="AM311" s="80"/>
      <c r="AN311" s="80"/>
      <c r="AO311" s="80"/>
    </row>
    <row r="312" spans="1:41" x14ac:dyDescent="0.35">
      <c r="A312" s="47">
        <v>2</v>
      </c>
      <c r="B312" s="118">
        <v>46423</v>
      </c>
      <c r="C312" s="119">
        <v>1</v>
      </c>
      <c r="D312" s="119">
        <v>1.5271909299999999</v>
      </c>
      <c r="E312" s="119">
        <v>2.17494554</v>
      </c>
      <c r="F312" s="119">
        <v>0.95572332000000004</v>
      </c>
      <c r="G312" s="119">
        <v>1.2853724399999999</v>
      </c>
      <c r="H312" s="119">
        <v>1.50298076</v>
      </c>
      <c r="I312" s="119">
        <v>1.88051506</v>
      </c>
      <c r="J312" s="119">
        <v>2.1182636800000001</v>
      </c>
      <c r="K312" s="119">
        <v>2.3978562800000001</v>
      </c>
      <c r="L312" s="119">
        <v>2.5303401600000002</v>
      </c>
      <c r="M312" s="2"/>
      <c r="N312" s="2"/>
      <c r="O312" s="2"/>
      <c r="P312" s="2"/>
      <c r="Q312" s="2"/>
      <c r="R312" s="2"/>
      <c r="S312" s="2"/>
      <c r="V312" s="77"/>
      <c r="W312" s="77"/>
      <c r="X312" s="77"/>
      <c r="Y312" s="77"/>
      <c r="Z312" s="77"/>
      <c r="AA312" s="77"/>
      <c r="AB312" s="77"/>
      <c r="AC312" s="77"/>
      <c r="AD312" s="77"/>
      <c r="AF312" s="80"/>
      <c r="AG312" s="80"/>
      <c r="AH312" s="80"/>
      <c r="AI312" s="80"/>
      <c r="AJ312" s="80"/>
      <c r="AK312" s="80"/>
      <c r="AL312" s="80"/>
      <c r="AM312" s="80"/>
      <c r="AN312" s="80"/>
      <c r="AO312" s="80"/>
    </row>
    <row r="313" spans="1:41" x14ac:dyDescent="0.35">
      <c r="A313" s="47">
        <v>2</v>
      </c>
      <c r="B313" s="118">
        <v>46424</v>
      </c>
      <c r="C313" s="119">
        <v>0</v>
      </c>
      <c r="D313" s="119">
        <v>1.6290925300000001</v>
      </c>
      <c r="E313" s="119">
        <v>2.1296864499999999</v>
      </c>
      <c r="F313" s="119">
        <v>0.38795774999999999</v>
      </c>
      <c r="G313" s="119">
        <v>0.75862556999999997</v>
      </c>
      <c r="H313" s="119">
        <v>1.01976578</v>
      </c>
      <c r="I313" s="119">
        <v>1.76551612</v>
      </c>
      <c r="J313" s="119">
        <v>1.98739351</v>
      </c>
      <c r="K313" s="119">
        <v>2.1276401300000001</v>
      </c>
      <c r="L313" s="119">
        <v>2.2554753600000002</v>
      </c>
      <c r="M313" s="2"/>
      <c r="N313" s="2"/>
      <c r="O313" s="2"/>
      <c r="P313" s="2"/>
      <c r="Q313" s="2"/>
      <c r="R313" s="2"/>
      <c r="S313" s="2"/>
      <c r="V313" s="77"/>
      <c r="W313" s="77"/>
      <c r="X313" s="77"/>
      <c r="Y313" s="77"/>
      <c r="Z313" s="77"/>
      <c r="AA313" s="77"/>
      <c r="AB313" s="77"/>
      <c r="AC313" s="77"/>
      <c r="AD313" s="77"/>
      <c r="AF313" s="80"/>
      <c r="AG313" s="80"/>
      <c r="AH313" s="80"/>
      <c r="AI313" s="80"/>
      <c r="AJ313" s="80"/>
      <c r="AK313" s="80"/>
      <c r="AL313" s="80"/>
      <c r="AM313" s="80"/>
      <c r="AN313" s="80"/>
      <c r="AO313" s="80"/>
    </row>
    <row r="314" spans="1:41" x14ac:dyDescent="0.35">
      <c r="A314" s="47">
        <v>2</v>
      </c>
      <c r="B314" s="118">
        <v>46425</v>
      </c>
      <c r="C314" s="119">
        <v>0</v>
      </c>
      <c r="D314" s="119">
        <v>1.62747084</v>
      </c>
      <c r="E314" s="119">
        <v>2.1248055300000002</v>
      </c>
      <c r="F314" s="119">
        <v>0.38916929</v>
      </c>
      <c r="G314" s="119">
        <v>0.75839889000000005</v>
      </c>
      <c r="H314" s="119">
        <v>1.0193566300000001</v>
      </c>
      <c r="I314" s="119">
        <v>1.7625020899999999</v>
      </c>
      <c r="J314" s="119">
        <v>1.9831962700000001</v>
      </c>
      <c r="K314" s="119">
        <v>2.1222663100000001</v>
      </c>
      <c r="L314" s="119">
        <v>2.2490949699999998</v>
      </c>
      <c r="M314" s="2"/>
      <c r="N314" s="2"/>
      <c r="O314" s="2"/>
      <c r="P314" s="2"/>
      <c r="Q314" s="2"/>
      <c r="R314" s="2"/>
      <c r="S314" s="2"/>
      <c r="V314" s="77"/>
      <c r="W314" s="77"/>
      <c r="X314" s="77"/>
      <c r="Y314" s="77"/>
      <c r="Z314" s="77"/>
      <c r="AA314" s="77"/>
      <c r="AB314" s="77"/>
      <c r="AC314" s="77"/>
      <c r="AD314" s="77"/>
      <c r="AF314" s="80"/>
      <c r="AG314" s="80"/>
      <c r="AH314" s="80"/>
      <c r="AI314" s="80"/>
      <c r="AJ314" s="80"/>
      <c r="AK314" s="80"/>
      <c r="AL314" s="80"/>
      <c r="AM314" s="80"/>
      <c r="AN314" s="80"/>
      <c r="AO314" s="80"/>
    </row>
    <row r="315" spans="1:41" x14ac:dyDescent="0.35">
      <c r="A315" s="47">
        <v>2</v>
      </c>
      <c r="B315" s="118">
        <v>46426</v>
      </c>
      <c r="C315" s="119">
        <v>1</v>
      </c>
      <c r="D315" s="119">
        <v>1.5227588700000001</v>
      </c>
      <c r="E315" s="119">
        <v>2.1588275499999998</v>
      </c>
      <c r="F315" s="119">
        <v>0.97810733999999999</v>
      </c>
      <c r="G315" s="119">
        <v>1.28757283</v>
      </c>
      <c r="H315" s="119">
        <v>1.50402737</v>
      </c>
      <c r="I315" s="119">
        <v>1.87080099</v>
      </c>
      <c r="J315" s="119">
        <v>2.1038870099999998</v>
      </c>
      <c r="K315" s="119">
        <v>2.37824999</v>
      </c>
      <c r="L315" s="119">
        <v>2.50711387</v>
      </c>
      <c r="M315" s="2"/>
      <c r="N315" s="2"/>
      <c r="O315" s="2"/>
      <c r="P315" s="2"/>
      <c r="Q315" s="2"/>
      <c r="R315" s="2"/>
      <c r="S315" s="2"/>
      <c r="V315" s="77"/>
      <c r="W315" s="77"/>
      <c r="X315" s="77"/>
      <c r="Y315" s="77"/>
      <c r="Z315" s="77"/>
      <c r="AA315" s="77"/>
      <c r="AB315" s="77"/>
      <c r="AC315" s="77"/>
      <c r="AD315" s="77"/>
      <c r="AF315" s="80"/>
      <c r="AG315" s="80"/>
      <c r="AH315" s="80"/>
      <c r="AI315" s="80"/>
      <c r="AJ315" s="80"/>
      <c r="AK315" s="80"/>
      <c r="AL315" s="80"/>
      <c r="AM315" s="80"/>
      <c r="AN315" s="80"/>
      <c r="AO315" s="80"/>
    </row>
    <row r="316" spans="1:41" x14ac:dyDescent="0.35">
      <c r="A316" s="47">
        <v>2</v>
      </c>
      <c r="B316" s="118">
        <v>46427</v>
      </c>
      <c r="C316" s="119">
        <v>1</v>
      </c>
      <c r="D316" s="119">
        <v>1.5207807499999999</v>
      </c>
      <c r="E316" s="119">
        <v>2.1522877399999998</v>
      </c>
      <c r="F316" s="119">
        <v>0.98556867999999997</v>
      </c>
      <c r="G316" s="119">
        <v>1.28830629</v>
      </c>
      <c r="H316" s="119">
        <v>1.50413142</v>
      </c>
      <c r="I316" s="119">
        <v>1.86675832</v>
      </c>
      <c r="J316" s="119">
        <v>2.09801832</v>
      </c>
      <c r="K316" s="119">
        <v>2.3703406199999999</v>
      </c>
      <c r="L316" s="119">
        <v>2.49779661</v>
      </c>
      <c r="M316" s="2"/>
      <c r="N316" s="2"/>
      <c r="O316" s="2"/>
      <c r="P316" s="2"/>
      <c r="Q316" s="2"/>
      <c r="R316" s="2"/>
      <c r="S316" s="2"/>
      <c r="V316" s="77"/>
      <c r="W316" s="77"/>
      <c r="X316" s="77"/>
      <c r="Y316" s="77"/>
      <c r="Z316" s="77"/>
      <c r="AA316" s="77"/>
      <c r="AB316" s="77"/>
      <c r="AC316" s="77"/>
      <c r="AD316" s="77"/>
      <c r="AF316" s="80"/>
      <c r="AG316" s="80"/>
      <c r="AH316" s="80"/>
      <c r="AI316" s="80"/>
      <c r="AJ316" s="80"/>
      <c r="AK316" s="80"/>
      <c r="AL316" s="80"/>
      <c r="AM316" s="80"/>
      <c r="AN316" s="80"/>
      <c r="AO316" s="80"/>
    </row>
    <row r="317" spans="1:41" x14ac:dyDescent="0.35">
      <c r="A317" s="47">
        <v>2</v>
      </c>
      <c r="B317" s="118">
        <v>46428</v>
      </c>
      <c r="C317" s="119">
        <v>1</v>
      </c>
      <c r="D317" s="119">
        <v>1.5187372299999999</v>
      </c>
      <c r="E317" s="119">
        <v>2.1457184300000001</v>
      </c>
      <c r="F317" s="119">
        <v>0.99303001999999996</v>
      </c>
      <c r="G317" s="119">
        <v>1.2890397499999999</v>
      </c>
      <c r="H317" s="119">
        <v>1.5041352800000001</v>
      </c>
      <c r="I317" s="119">
        <v>1.86266563</v>
      </c>
      <c r="J317" s="119">
        <v>2.09211204</v>
      </c>
      <c r="K317" s="119">
        <v>2.36240995</v>
      </c>
      <c r="L317" s="119">
        <v>2.4884708299999998</v>
      </c>
      <c r="M317" s="2"/>
      <c r="N317" s="2"/>
      <c r="O317" s="2"/>
      <c r="P317" s="2"/>
      <c r="Q317" s="2"/>
      <c r="R317" s="2"/>
      <c r="S317" s="2"/>
      <c r="V317" s="77"/>
      <c r="W317" s="77"/>
      <c r="X317" s="77"/>
      <c r="Y317" s="77"/>
      <c r="Z317" s="77"/>
      <c r="AA317" s="77"/>
      <c r="AB317" s="77"/>
      <c r="AC317" s="77"/>
      <c r="AD317" s="77"/>
      <c r="AF317" s="80"/>
      <c r="AG317" s="80"/>
      <c r="AH317" s="80"/>
      <c r="AI317" s="80"/>
      <c r="AJ317" s="80"/>
      <c r="AK317" s="80"/>
      <c r="AL317" s="80"/>
      <c r="AM317" s="80"/>
      <c r="AN317" s="80"/>
      <c r="AO317" s="80"/>
    </row>
    <row r="318" spans="1:41" x14ac:dyDescent="0.35">
      <c r="A318" s="47">
        <v>2</v>
      </c>
      <c r="B318" s="118">
        <v>46429</v>
      </c>
      <c r="C318" s="119">
        <v>1</v>
      </c>
      <c r="D318" s="119">
        <v>1.51607102</v>
      </c>
      <c r="E318" s="119">
        <v>2.1374563499999999</v>
      </c>
      <c r="F318" s="119">
        <v>1.0004913600000001</v>
      </c>
      <c r="G318" s="119">
        <v>1.2897732099999999</v>
      </c>
      <c r="H318" s="119">
        <v>1.5039687500000001</v>
      </c>
      <c r="I318" s="119">
        <v>1.85746422</v>
      </c>
      <c r="J318" s="119">
        <v>2.0846649099999999</v>
      </c>
      <c r="K318" s="119">
        <v>2.3524602099999998</v>
      </c>
      <c r="L318" s="119">
        <v>2.47679904</v>
      </c>
      <c r="M318" s="2"/>
      <c r="N318" s="2"/>
      <c r="O318" s="2"/>
      <c r="P318" s="2"/>
      <c r="Q318" s="2"/>
      <c r="R318" s="2"/>
      <c r="S318" s="2"/>
      <c r="V318" s="77"/>
      <c r="W318" s="77"/>
      <c r="X318" s="77"/>
      <c r="Y318" s="77"/>
      <c r="Z318" s="77"/>
      <c r="AA318" s="77"/>
      <c r="AB318" s="77"/>
      <c r="AC318" s="77"/>
      <c r="AD318" s="77"/>
      <c r="AF318" s="80"/>
      <c r="AG318" s="80"/>
      <c r="AH318" s="80"/>
      <c r="AI318" s="80"/>
      <c r="AJ318" s="80"/>
      <c r="AK318" s="80"/>
      <c r="AL318" s="80"/>
      <c r="AM318" s="80"/>
      <c r="AN318" s="80"/>
      <c r="AO318" s="80"/>
    </row>
    <row r="319" spans="1:41" x14ac:dyDescent="0.35">
      <c r="A319" s="47">
        <v>2</v>
      </c>
      <c r="B319" s="118">
        <v>46430</v>
      </c>
      <c r="C319" s="119">
        <v>1</v>
      </c>
      <c r="D319" s="119">
        <v>1.5133387199999999</v>
      </c>
      <c r="E319" s="119">
        <v>2.1291644500000002</v>
      </c>
      <c r="F319" s="119">
        <v>1.0079526999999999</v>
      </c>
      <c r="G319" s="119">
        <v>1.2905066700000001</v>
      </c>
      <c r="H319" s="119">
        <v>1.50370095</v>
      </c>
      <c r="I319" s="119">
        <v>1.8522122599999999</v>
      </c>
      <c r="J319" s="119">
        <v>2.0771797799999998</v>
      </c>
      <c r="K319" s="119">
        <v>2.3424889499999999</v>
      </c>
      <c r="L319" s="119">
        <v>2.46511864</v>
      </c>
      <c r="M319" s="2"/>
      <c r="N319" s="2"/>
      <c r="O319" s="2"/>
      <c r="P319" s="2"/>
      <c r="Q319" s="2"/>
      <c r="R319" s="2"/>
      <c r="S319" s="2"/>
      <c r="V319" s="77"/>
      <c r="W319" s="77"/>
      <c r="X319" s="77"/>
      <c r="Y319" s="77"/>
      <c r="Z319" s="77"/>
      <c r="AA319" s="77"/>
      <c r="AB319" s="77"/>
      <c r="AC319" s="77"/>
      <c r="AD319" s="77"/>
      <c r="AF319" s="80"/>
      <c r="AG319" s="80"/>
      <c r="AH319" s="80"/>
      <c r="AI319" s="80"/>
      <c r="AJ319" s="80"/>
      <c r="AK319" s="80"/>
      <c r="AL319" s="80"/>
      <c r="AM319" s="80"/>
      <c r="AN319" s="80"/>
      <c r="AO319" s="80"/>
    </row>
    <row r="320" spans="1:41" x14ac:dyDescent="0.35">
      <c r="A320" s="47">
        <v>2</v>
      </c>
      <c r="B320" s="118">
        <v>46431</v>
      </c>
      <c r="C320" s="119">
        <v>0</v>
      </c>
      <c r="D320" s="119">
        <v>1.6112064800000001</v>
      </c>
      <c r="E320" s="119">
        <v>2.0815539900000002</v>
      </c>
      <c r="F320" s="119">
        <v>0.39643853000000001</v>
      </c>
      <c r="G320" s="119">
        <v>0.75703883000000005</v>
      </c>
      <c r="H320" s="119">
        <v>1.0141360699999999</v>
      </c>
      <c r="I320" s="119">
        <v>1.7349900599999999</v>
      </c>
      <c r="J320" s="119">
        <v>1.94557435</v>
      </c>
      <c r="K320" s="119">
        <v>2.0749440200000002</v>
      </c>
      <c r="L320" s="119">
        <v>2.19347862</v>
      </c>
      <c r="M320" s="2"/>
      <c r="N320" s="2"/>
      <c r="O320" s="2"/>
      <c r="P320" s="2"/>
      <c r="Q320" s="2"/>
      <c r="R320" s="2"/>
      <c r="S320" s="2"/>
      <c r="V320" s="77"/>
      <c r="W320" s="77"/>
      <c r="X320" s="77"/>
      <c r="Y320" s="77"/>
      <c r="Z320" s="77"/>
      <c r="AA320" s="77"/>
      <c r="AB320" s="77"/>
      <c r="AC320" s="77"/>
      <c r="AD320" s="77"/>
      <c r="AF320" s="80"/>
      <c r="AG320" s="80"/>
      <c r="AH320" s="80"/>
      <c r="AI320" s="80"/>
      <c r="AJ320" s="80"/>
      <c r="AK320" s="80"/>
      <c r="AL320" s="80"/>
      <c r="AM320" s="80"/>
      <c r="AN320" s="80"/>
      <c r="AO320" s="80"/>
    </row>
    <row r="321" spans="1:41" x14ac:dyDescent="0.35">
      <c r="A321" s="47">
        <v>2</v>
      </c>
      <c r="B321" s="118">
        <v>46432</v>
      </c>
      <c r="C321" s="119">
        <v>0</v>
      </c>
      <c r="D321" s="119">
        <v>1.6065265500000001</v>
      </c>
      <c r="E321" s="119">
        <v>2.06977988</v>
      </c>
      <c r="F321" s="119">
        <v>0.39765007000000002</v>
      </c>
      <c r="G321" s="119">
        <v>0.75681215999999996</v>
      </c>
      <c r="H321" s="119">
        <v>1.01250237</v>
      </c>
      <c r="I321" s="119">
        <v>1.7273935300000001</v>
      </c>
      <c r="J321" s="119">
        <v>1.93527563</v>
      </c>
      <c r="K321" s="119">
        <v>2.06210133</v>
      </c>
      <c r="L321" s="119">
        <v>2.17846144</v>
      </c>
      <c r="M321" s="2"/>
      <c r="N321" s="2"/>
      <c r="O321" s="2"/>
      <c r="P321" s="2"/>
      <c r="Q321" s="2"/>
      <c r="R321" s="2"/>
      <c r="S321" s="2"/>
      <c r="V321" s="77"/>
      <c r="W321" s="77"/>
      <c r="X321" s="77"/>
      <c r="Y321" s="77"/>
      <c r="Z321" s="77"/>
      <c r="AA321" s="77"/>
      <c r="AB321" s="77"/>
      <c r="AC321" s="77"/>
      <c r="AD321" s="77"/>
      <c r="AF321" s="80"/>
      <c r="AG321" s="80"/>
      <c r="AH321" s="80"/>
      <c r="AI321" s="80"/>
      <c r="AJ321" s="80"/>
      <c r="AK321" s="80"/>
      <c r="AL321" s="80"/>
      <c r="AM321" s="80"/>
      <c r="AN321" s="80"/>
      <c r="AO321" s="80"/>
    </row>
    <row r="322" spans="1:41" x14ac:dyDescent="0.35">
      <c r="A322" s="47">
        <v>2</v>
      </c>
      <c r="B322" s="118">
        <v>46433</v>
      </c>
      <c r="C322" s="119">
        <v>1</v>
      </c>
      <c r="D322" s="119">
        <v>1.5041852899999999</v>
      </c>
      <c r="E322" s="119">
        <v>2.1024454000000001</v>
      </c>
      <c r="F322" s="119">
        <v>1.0303367299999999</v>
      </c>
      <c r="G322" s="119">
        <v>1.2927070599999999</v>
      </c>
      <c r="H322" s="119">
        <v>1.5022156499999999</v>
      </c>
      <c r="I322" s="119">
        <v>1.8350923100000001</v>
      </c>
      <c r="J322" s="119">
        <v>2.0529916400000001</v>
      </c>
      <c r="K322" s="119">
        <v>2.31044736</v>
      </c>
      <c r="L322" s="119">
        <v>2.4276879500000001</v>
      </c>
      <c r="M322" s="2"/>
      <c r="N322" s="2"/>
      <c r="O322" s="2"/>
      <c r="P322" s="2"/>
      <c r="Q322" s="2"/>
      <c r="R322" s="2"/>
      <c r="S322" s="2"/>
      <c r="V322" s="77"/>
      <c r="W322" s="77"/>
      <c r="X322" s="77"/>
      <c r="Y322" s="77"/>
      <c r="Z322" s="77"/>
      <c r="AA322" s="77"/>
      <c r="AB322" s="77"/>
      <c r="AC322" s="77"/>
      <c r="AD322" s="77"/>
      <c r="AF322" s="80"/>
      <c r="AG322" s="80"/>
      <c r="AH322" s="80"/>
      <c r="AI322" s="80"/>
      <c r="AJ322" s="80"/>
      <c r="AK322" s="80"/>
      <c r="AL322" s="80"/>
      <c r="AM322" s="80"/>
      <c r="AN322" s="80"/>
      <c r="AO322" s="80"/>
    </row>
    <row r="323" spans="1:41" x14ac:dyDescent="0.35">
      <c r="A323" s="47">
        <v>2</v>
      </c>
      <c r="B323" s="118">
        <v>46434</v>
      </c>
      <c r="C323" s="119">
        <v>1</v>
      </c>
      <c r="D323" s="119">
        <v>1.5011857200000001</v>
      </c>
      <c r="E323" s="119">
        <v>2.09403294</v>
      </c>
      <c r="F323" s="119">
        <v>1.0341108000000001</v>
      </c>
      <c r="G323" s="119">
        <v>1.29128212</v>
      </c>
      <c r="H323" s="119">
        <v>1.5015383099999999</v>
      </c>
      <c r="I323" s="119">
        <v>1.8296359099999999</v>
      </c>
      <c r="J323" s="119">
        <v>2.0453528699999999</v>
      </c>
      <c r="K323" s="119">
        <v>2.30038907</v>
      </c>
      <c r="L323" s="119">
        <v>2.41597273</v>
      </c>
      <c r="M323" s="2"/>
      <c r="N323" s="2"/>
      <c r="O323" s="2"/>
      <c r="P323" s="2"/>
      <c r="Q323" s="2"/>
      <c r="R323" s="2"/>
      <c r="S323" s="2"/>
      <c r="V323" s="77"/>
      <c r="W323" s="77"/>
      <c r="X323" s="77"/>
      <c r="Y323" s="77"/>
      <c r="Z323" s="77"/>
      <c r="AA323" s="77"/>
      <c r="AB323" s="77"/>
      <c r="AC323" s="77"/>
      <c r="AD323" s="77"/>
      <c r="AF323" s="80"/>
      <c r="AG323" s="80"/>
      <c r="AH323" s="80"/>
      <c r="AI323" s="80"/>
      <c r="AJ323" s="80"/>
      <c r="AK323" s="80"/>
      <c r="AL323" s="80"/>
      <c r="AM323" s="80"/>
      <c r="AN323" s="80"/>
      <c r="AO323" s="80"/>
    </row>
    <row r="324" spans="1:41" x14ac:dyDescent="0.35">
      <c r="A324" s="47">
        <v>2</v>
      </c>
      <c r="B324" s="118">
        <v>46435</v>
      </c>
      <c r="C324" s="119">
        <v>1</v>
      </c>
      <c r="D324" s="119">
        <v>1.49644793</v>
      </c>
      <c r="E324" s="119">
        <v>2.0806007499999999</v>
      </c>
      <c r="F324" s="119">
        <v>1.03788488</v>
      </c>
      <c r="G324" s="119">
        <v>1.28985718</v>
      </c>
      <c r="H324" s="119">
        <v>1.50054884</v>
      </c>
      <c r="I324" s="119">
        <v>1.82095272</v>
      </c>
      <c r="J324" s="119">
        <v>2.0331662000000001</v>
      </c>
      <c r="K324" s="119">
        <v>2.2843158200000002</v>
      </c>
      <c r="L324" s="119">
        <v>2.3972364000000002</v>
      </c>
      <c r="M324" s="2"/>
      <c r="N324" s="2"/>
      <c r="O324" s="2"/>
      <c r="P324" s="2"/>
      <c r="Q324" s="2"/>
      <c r="R324" s="2"/>
      <c r="S324" s="2"/>
      <c r="V324" s="77"/>
      <c r="W324" s="77"/>
      <c r="X324" s="77"/>
      <c r="Y324" s="77"/>
      <c r="Z324" s="77"/>
      <c r="AA324" s="77"/>
      <c r="AB324" s="77"/>
      <c r="AC324" s="77"/>
      <c r="AD324" s="77"/>
      <c r="AF324" s="80"/>
      <c r="AG324" s="80"/>
      <c r="AH324" s="80"/>
      <c r="AI324" s="80"/>
      <c r="AJ324" s="80"/>
      <c r="AK324" s="80"/>
      <c r="AL324" s="80"/>
      <c r="AM324" s="80"/>
      <c r="AN324" s="80"/>
      <c r="AO324" s="80"/>
    </row>
    <row r="325" spans="1:41" x14ac:dyDescent="0.35">
      <c r="A325" s="47">
        <v>2</v>
      </c>
      <c r="B325" s="118">
        <v>46436</v>
      </c>
      <c r="C325" s="119">
        <v>1</v>
      </c>
      <c r="D325" s="119">
        <v>1.49275644</v>
      </c>
      <c r="E325" s="119">
        <v>2.0704642899999999</v>
      </c>
      <c r="F325" s="119">
        <v>1.0416589599999999</v>
      </c>
      <c r="G325" s="119">
        <v>1.2884322399999999</v>
      </c>
      <c r="H325" s="119">
        <v>1.4995950499999999</v>
      </c>
      <c r="I325" s="119">
        <v>1.8143346499999999</v>
      </c>
      <c r="J325" s="119">
        <v>2.0239467800000002</v>
      </c>
      <c r="K325" s="119">
        <v>2.2722159</v>
      </c>
      <c r="L325" s="119">
        <v>2.38316616</v>
      </c>
      <c r="M325" s="2"/>
      <c r="N325" s="2"/>
      <c r="O325" s="2"/>
      <c r="P325" s="2"/>
      <c r="Q325" s="2"/>
      <c r="R325" s="2"/>
      <c r="S325" s="2"/>
      <c r="V325" s="77"/>
      <c r="W325" s="77"/>
      <c r="X325" s="77"/>
      <c r="Y325" s="77"/>
      <c r="Z325" s="77"/>
      <c r="AA325" s="77"/>
      <c r="AB325" s="77"/>
      <c r="AC325" s="77"/>
      <c r="AD325" s="77"/>
      <c r="AF325" s="80"/>
      <c r="AG325" s="80"/>
      <c r="AH325" s="80"/>
      <c r="AI325" s="80"/>
      <c r="AJ325" s="80"/>
      <c r="AK325" s="80"/>
      <c r="AL325" s="80"/>
      <c r="AM325" s="80"/>
      <c r="AN325" s="80"/>
      <c r="AO325" s="80"/>
    </row>
    <row r="326" spans="1:41" x14ac:dyDescent="0.35">
      <c r="A326" s="47">
        <v>2</v>
      </c>
      <c r="B326" s="118">
        <v>46437</v>
      </c>
      <c r="C326" s="119">
        <v>1</v>
      </c>
      <c r="D326" s="119">
        <v>1.4889972199999999</v>
      </c>
      <c r="E326" s="119">
        <v>2.0602972799999999</v>
      </c>
      <c r="F326" s="119">
        <v>1.0454330300000001</v>
      </c>
      <c r="G326" s="119">
        <v>1.2870073</v>
      </c>
      <c r="H326" s="119">
        <v>1.49853747</v>
      </c>
      <c r="I326" s="119">
        <v>1.8076647699999999</v>
      </c>
      <c r="J326" s="119">
        <v>2.0146884300000001</v>
      </c>
      <c r="K326" s="119">
        <v>2.26009393</v>
      </c>
      <c r="L326" s="119">
        <v>2.3690870899999998</v>
      </c>
      <c r="M326" s="2"/>
      <c r="N326" s="2"/>
      <c r="O326" s="2"/>
      <c r="P326" s="2"/>
      <c r="Q326" s="2"/>
      <c r="R326" s="2"/>
      <c r="S326" s="2"/>
      <c r="V326" s="77"/>
      <c r="W326" s="77"/>
      <c r="X326" s="77"/>
      <c r="Y326" s="77"/>
      <c r="Z326" s="77"/>
      <c r="AA326" s="77"/>
      <c r="AB326" s="77"/>
      <c r="AC326" s="77"/>
      <c r="AD326" s="77"/>
      <c r="AF326" s="80"/>
      <c r="AG326" s="80"/>
      <c r="AH326" s="80"/>
      <c r="AI326" s="80"/>
      <c r="AJ326" s="80"/>
      <c r="AK326" s="80"/>
      <c r="AL326" s="80"/>
      <c r="AM326" s="80"/>
      <c r="AN326" s="80"/>
      <c r="AO326" s="80"/>
    </row>
    <row r="327" spans="1:41" x14ac:dyDescent="0.35">
      <c r="A327" s="47">
        <v>2</v>
      </c>
      <c r="B327" s="118">
        <v>46438</v>
      </c>
      <c r="C327" s="119">
        <v>0</v>
      </c>
      <c r="D327" s="119">
        <v>1.57976695</v>
      </c>
      <c r="E327" s="119">
        <v>2.0052809599999999</v>
      </c>
      <c r="F327" s="119">
        <v>0.40778986</v>
      </c>
      <c r="G327" s="119">
        <v>0.75793376000000001</v>
      </c>
      <c r="H327" s="119">
        <v>1.0026073900000001</v>
      </c>
      <c r="I327" s="119">
        <v>1.6853031000000001</v>
      </c>
      <c r="J327" s="119">
        <v>1.8786047299999999</v>
      </c>
      <c r="K327" s="119">
        <v>1.9919247</v>
      </c>
      <c r="L327" s="119">
        <v>2.0967436699999999</v>
      </c>
      <c r="M327" s="2"/>
      <c r="N327" s="2"/>
      <c r="O327" s="2"/>
      <c r="P327" s="2"/>
      <c r="Q327" s="2"/>
      <c r="R327" s="2"/>
      <c r="S327" s="2"/>
      <c r="V327" s="77"/>
      <c r="W327" s="77"/>
      <c r="X327" s="77"/>
      <c r="Y327" s="77"/>
      <c r="Z327" s="77"/>
      <c r="AA327" s="77"/>
      <c r="AB327" s="77"/>
      <c r="AC327" s="77"/>
      <c r="AD327" s="77"/>
      <c r="AF327" s="80"/>
      <c r="AG327" s="80"/>
      <c r="AH327" s="80"/>
      <c r="AI327" s="80"/>
      <c r="AJ327" s="80"/>
      <c r="AK327" s="80"/>
      <c r="AL327" s="80"/>
      <c r="AM327" s="80"/>
      <c r="AN327" s="80"/>
      <c r="AO327" s="80"/>
    </row>
    <row r="328" spans="1:41" x14ac:dyDescent="0.35">
      <c r="A328" s="47">
        <v>2</v>
      </c>
      <c r="B328" s="118">
        <v>46439</v>
      </c>
      <c r="C328" s="119">
        <v>0</v>
      </c>
      <c r="D328" s="119">
        <v>1.57464845</v>
      </c>
      <c r="E328" s="119">
        <v>1.9933182700000001</v>
      </c>
      <c r="F328" s="119">
        <v>0.40957550999999998</v>
      </c>
      <c r="G328" s="119">
        <v>0.75820341999999996</v>
      </c>
      <c r="H328" s="119">
        <v>1.0006413199999999</v>
      </c>
      <c r="I328" s="119">
        <v>1.67743061</v>
      </c>
      <c r="J328" s="119">
        <v>1.86805873</v>
      </c>
      <c r="K328" s="119">
        <v>1.9789333200000001</v>
      </c>
      <c r="L328" s="119">
        <v>2.08166304</v>
      </c>
      <c r="M328" s="2"/>
      <c r="N328" s="2"/>
      <c r="O328" s="2"/>
      <c r="P328" s="2"/>
      <c r="Q328" s="2"/>
      <c r="R328" s="2"/>
      <c r="S328" s="2"/>
      <c r="V328" s="77"/>
      <c r="W328" s="77"/>
      <c r="X328" s="77"/>
      <c r="Y328" s="77"/>
      <c r="Z328" s="77"/>
      <c r="AA328" s="77"/>
      <c r="AB328" s="77"/>
      <c r="AC328" s="77"/>
      <c r="AD328" s="77"/>
      <c r="AF328" s="80"/>
      <c r="AG328" s="80"/>
      <c r="AH328" s="80"/>
      <c r="AI328" s="80"/>
      <c r="AJ328" s="80"/>
      <c r="AK328" s="80"/>
      <c r="AL328" s="80"/>
      <c r="AM328" s="80"/>
      <c r="AN328" s="80"/>
      <c r="AO328" s="80"/>
    </row>
    <row r="329" spans="1:41" x14ac:dyDescent="0.35">
      <c r="A329" s="47">
        <v>2</v>
      </c>
      <c r="B329" s="118">
        <v>46440</v>
      </c>
      <c r="C329" s="119">
        <v>1</v>
      </c>
      <c r="D329" s="119">
        <v>1.47452742</v>
      </c>
      <c r="E329" s="119">
        <v>2.0212968899999999</v>
      </c>
      <c r="F329" s="119">
        <v>1.05675527</v>
      </c>
      <c r="G329" s="119">
        <v>1.28273247</v>
      </c>
      <c r="H329" s="119">
        <v>1.4943922999999999</v>
      </c>
      <c r="I329" s="119">
        <v>1.78205141</v>
      </c>
      <c r="J329" s="119">
        <v>1.97916388</v>
      </c>
      <c r="K329" s="119">
        <v>2.2136069900000002</v>
      </c>
      <c r="L329" s="119">
        <v>2.3151095800000001</v>
      </c>
      <c r="M329" s="2"/>
      <c r="N329" s="2"/>
      <c r="O329" s="2"/>
      <c r="P329" s="2"/>
      <c r="Q329" s="2"/>
      <c r="R329" s="2"/>
      <c r="S329" s="2"/>
      <c r="V329" s="77"/>
      <c r="W329" s="77"/>
      <c r="X329" s="77"/>
      <c r="Y329" s="77"/>
      <c r="Z329" s="77"/>
      <c r="AA329" s="77"/>
      <c r="AB329" s="77"/>
      <c r="AC329" s="77"/>
      <c r="AD329" s="77"/>
      <c r="AF329" s="80"/>
      <c r="AG329" s="80"/>
      <c r="AH329" s="80"/>
      <c r="AI329" s="80"/>
      <c r="AJ329" s="80"/>
      <c r="AK329" s="80"/>
      <c r="AL329" s="80"/>
      <c r="AM329" s="80"/>
      <c r="AN329" s="80"/>
      <c r="AO329" s="80"/>
    </row>
    <row r="330" spans="1:41" x14ac:dyDescent="0.35">
      <c r="A330" s="47">
        <v>2</v>
      </c>
      <c r="B330" s="118">
        <v>46441</v>
      </c>
      <c r="C330" s="119">
        <v>1</v>
      </c>
      <c r="D330" s="119">
        <v>1.4693825</v>
      </c>
      <c r="E330" s="119">
        <v>2.00768104</v>
      </c>
      <c r="F330" s="119">
        <v>1.06052934</v>
      </c>
      <c r="G330" s="119">
        <v>1.2813075300000001</v>
      </c>
      <c r="H330" s="119">
        <v>1.49277898</v>
      </c>
      <c r="I330" s="119">
        <v>1.77305679</v>
      </c>
      <c r="J330" s="119">
        <v>1.96674317</v>
      </c>
      <c r="K330" s="119">
        <v>2.19740117</v>
      </c>
      <c r="L330" s="119">
        <v>2.2963202100000002</v>
      </c>
      <c r="M330" s="2"/>
      <c r="N330" s="2"/>
      <c r="O330" s="2"/>
      <c r="P330" s="2"/>
      <c r="Q330" s="2"/>
      <c r="R330" s="2"/>
      <c r="S330" s="2"/>
      <c r="V330" s="77"/>
      <c r="W330" s="77"/>
      <c r="X330" s="77"/>
      <c r="Y330" s="77"/>
      <c r="Z330" s="77"/>
      <c r="AA330" s="77"/>
      <c r="AB330" s="77"/>
      <c r="AC330" s="77"/>
      <c r="AD330" s="77"/>
      <c r="AF330" s="80"/>
      <c r="AG330" s="80"/>
      <c r="AH330" s="80"/>
      <c r="AI330" s="80"/>
      <c r="AJ330" s="80"/>
      <c r="AK330" s="80"/>
      <c r="AL330" s="80"/>
      <c r="AM330" s="80"/>
      <c r="AN330" s="80"/>
      <c r="AO330" s="80"/>
    </row>
    <row r="331" spans="1:41" x14ac:dyDescent="0.35">
      <c r="A331" s="47">
        <v>2</v>
      </c>
      <c r="B331" s="118">
        <v>46442</v>
      </c>
      <c r="C331" s="119">
        <v>1</v>
      </c>
      <c r="D331" s="119">
        <v>1.4641695800000001</v>
      </c>
      <c r="E331" s="119">
        <v>1.9940345100000001</v>
      </c>
      <c r="F331" s="119">
        <v>1.0643034199999999</v>
      </c>
      <c r="G331" s="119">
        <v>1.2798825899999999</v>
      </c>
      <c r="H331" s="119">
        <v>1.49106144</v>
      </c>
      <c r="I331" s="119">
        <v>1.7640101399999999</v>
      </c>
      <c r="J331" s="119">
        <v>1.95428336</v>
      </c>
      <c r="K331" s="119">
        <v>2.1811731999999999</v>
      </c>
      <c r="L331" s="119">
        <v>2.2775219799999999</v>
      </c>
      <c r="M331" s="2"/>
      <c r="N331" s="2"/>
      <c r="O331" s="2"/>
      <c r="P331" s="2"/>
      <c r="Q331" s="2"/>
      <c r="R331" s="2"/>
      <c r="S331" s="2"/>
      <c r="V331" s="77"/>
      <c r="W331" s="77"/>
      <c r="X331" s="77"/>
      <c r="Y331" s="77"/>
      <c r="Z331" s="77"/>
      <c r="AA331" s="77"/>
      <c r="AB331" s="77"/>
      <c r="AC331" s="77"/>
      <c r="AD331" s="77"/>
      <c r="AF331" s="80"/>
      <c r="AG331" s="80"/>
      <c r="AH331" s="80"/>
      <c r="AI331" s="80"/>
      <c r="AJ331" s="80"/>
      <c r="AK331" s="80"/>
      <c r="AL331" s="80"/>
      <c r="AM331" s="80"/>
      <c r="AN331" s="80"/>
      <c r="AO331" s="80"/>
    </row>
    <row r="332" spans="1:41" x14ac:dyDescent="0.35">
      <c r="A332" s="47">
        <v>2</v>
      </c>
      <c r="B332" s="118">
        <v>46443</v>
      </c>
      <c r="C332" s="119">
        <v>1</v>
      </c>
      <c r="D332" s="119">
        <v>1.45833174</v>
      </c>
      <c r="E332" s="119">
        <v>1.97869421</v>
      </c>
      <c r="F332" s="119">
        <v>1.0680775</v>
      </c>
      <c r="G332" s="119">
        <v>1.27845765</v>
      </c>
      <c r="H332" s="119">
        <v>1.48917013</v>
      </c>
      <c r="I332" s="119">
        <v>1.75385309</v>
      </c>
      <c r="J332" s="119">
        <v>1.94028142</v>
      </c>
      <c r="K332" s="119">
        <v>2.16292544</v>
      </c>
      <c r="L332" s="119">
        <v>2.25637745</v>
      </c>
      <c r="M332" s="2"/>
      <c r="N332" s="2"/>
      <c r="O332" s="2"/>
      <c r="P332" s="2"/>
      <c r="Q332" s="2"/>
      <c r="R332" s="2"/>
      <c r="S332" s="2"/>
      <c r="V332" s="77"/>
      <c r="W332" s="77"/>
      <c r="X332" s="77"/>
      <c r="Y332" s="77"/>
      <c r="Z332" s="77"/>
      <c r="AA332" s="77"/>
      <c r="AB332" s="77"/>
      <c r="AC332" s="77"/>
      <c r="AD332" s="77"/>
      <c r="AF332" s="80"/>
      <c r="AG332" s="80"/>
      <c r="AH332" s="80"/>
      <c r="AI332" s="80"/>
      <c r="AJ332" s="80"/>
      <c r="AK332" s="80"/>
      <c r="AL332" s="80"/>
      <c r="AM332" s="80"/>
      <c r="AN332" s="80"/>
      <c r="AO332" s="80"/>
    </row>
    <row r="333" spans="1:41" x14ac:dyDescent="0.35">
      <c r="A333" s="47">
        <v>2</v>
      </c>
      <c r="B333" s="118">
        <v>46444</v>
      </c>
      <c r="C333" s="119">
        <v>1</v>
      </c>
      <c r="D333" s="119">
        <v>1.45298295</v>
      </c>
      <c r="E333" s="119">
        <v>1.96498639</v>
      </c>
      <c r="F333" s="119">
        <v>1.07185157</v>
      </c>
      <c r="G333" s="119">
        <v>1.2770327100000001</v>
      </c>
      <c r="H333" s="119">
        <v>1.4872444</v>
      </c>
      <c r="I333" s="119">
        <v>1.74470251</v>
      </c>
      <c r="J333" s="119">
        <v>1.92774351</v>
      </c>
      <c r="K333" s="119">
        <v>2.1466532300000001</v>
      </c>
      <c r="L333" s="119">
        <v>2.2375615299999998</v>
      </c>
      <c r="M333" s="2"/>
      <c r="N333" s="2"/>
      <c r="O333" s="2"/>
      <c r="P333" s="2"/>
      <c r="Q333" s="2"/>
      <c r="R333" s="2"/>
      <c r="S333" s="2"/>
      <c r="V333" s="77"/>
      <c r="W333" s="77"/>
      <c r="X333" s="77"/>
      <c r="Y333" s="77"/>
      <c r="Z333" s="77"/>
      <c r="AA333" s="77"/>
      <c r="AB333" s="77"/>
      <c r="AC333" s="77"/>
      <c r="AD333" s="77"/>
      <c r="AF333" s="80"/>
      <c r="AG333" s="80"/>
      <c r="AH333" s="80"/>
      <c r="AI333" s="80"/>
      <c r="AJ333" s="80"/>
      <c r="AK333" s="80"/>
      <c r="AL333" s="80"/>
      <c r="AM333" s="80"/>
      <c r="AN333" s="80"/>
      <c r="AO333" s="80"/>
    </row>
    <row r="334" spans="1:41" x14ac:dyDescent="0.35">
      <c r="A334" s="47">
        <v>2</v>
      </c>
      <c r="B334" s="118">
        <v>46445</v>
      </c>
      <c r="C334" s="119">
        <v>0</v>
      </c>
      <c r="D334" s="119">
        <v>1.53734989</v>
      </c>
      <c r="E334" s="119">
        <v>1.9075531800000001</v>
      </c>
      <c r="F334" s="119">
        <v>0.42028940999999997</v>
      </c>
      <c r="G334" s="119">
        <v>0.75982136</v>
      </c>
      <c r="H334" s="119">
        <v>0.98603878</v>
      </c>
      <c r="I334" s="119">
        <v>1.6207342600000001</v>
      </c>
      <c r="J334" s="119">
        <v>1.79231421</v>
      </c>
      <c r="K334" s="119">
        <v>1.8858875399999999</v>
      </c>
      <c r="L334" s="119">
        <v>1.9738375399999999</v>
      </c>
      <c r="M334" s="2"/>
      <c r="N334" s="2"/>
      <c r="O334" s="2"/>
      <c r="P334" s="2"/>
      <c r="Q334" s="2"/>
      <c r="R334" s="2"/>
      <c r="S334" s="2"/>
      <c r="V334" s="77"/>
      <c r="W334" s="77"/>
      <c r="X334" s="77"/>
      <c r="Y334" s="77"/>
      <c r="Z334" s="77"/>
      <c r="AA334" s="77"/>
      <c r="AB334" s="77"/>
      <c r="AC334" s="77"/>
      <c r="AD334" s="77"/>
      <c r="AF334" s="80"/>
      <c r="AG334" s="80"/>
      <c r="AH334" s="80"/>
      <c r="AI334" s="80"/>
      <c r="AJ334" s="80"/>
      <c r="AK334" s="80"/>
      <c r="AL334" s="80"/>
      <c r="AM334" s="80"/>
      <c r="AN334" s="80"/>
      <c r="AO334" s="80"/>
    </row>
    <row r="335" spans="1:41" x14ac:dyDescent="0.35">
      <c r="A335" s="47">
        <v>2</v>
      </c>
      <c r="B335" s="118">
        <v>46446</v>
      </c>
      <c r="C335" s="119">
        <v>0</v>
      </c>
      <c r="D335" s="119">
        <v>1.53047464</v>
      </c>
      <c r="E335" s="119">
        <v>1.8920460100000001</v>
      </c>
      <c r="F335" s="119">
        <v>0.42207506</v>
      </c>
      <c r="G335" s="119">
        <v>0.76009101000000001</v>
      </c>
      <c r="H335" s="119">
        <v>0.98328791999999998</v>
      </c>
      <c r="I335" s="119">
        <v>1.6104272900000001</v>
      </c>
      <c r="J335" s="119">
        <v>1.7785891300000001</v>
      </c>
      <c r="K335" s="119">
        <v>1.86908454</v>
      </c>
      <c r="L335" s="119">
        <v>1.9544055899999999</v>
      </c>
      <c r="M335" s="2"/>
      <c r="N335" s="2"/>
      <c r="O335" s="2"/>
      <c r="P335" s="2"/>
      <c r="Q335" s="2"/>
      <c r="R335" s="2"/>
      <c r="S335" s="2"/>
      <c r="V335" s="77"/>
      <c r="W335" s="77"/>
      <c r="X335" s="77"/>
      <c r="Y335" s="77"/>
      <c r="Z335" s="77"/>
      <c r="AA335" s="77"/>
      <c r="AB335" s="77"/>
      <c r="AC335" s="77"/>
      <c r="AD335" s="77"/>
      <c r="AF335" s="80"/>
      <c r="AG335" s="80"/>
      <c r="AH335" s="80"/>
      <c r="AI335" s="80"/>
      <c r="AJ335" s="80"/>
      <c r="AK335" s="80"/>
      <c r="AL335" s="80"/>
      <c r="AM335" s="80"/>
      <c r="AN335" s="80"/>
      <c r="AO335" s="80"/>
    </row>
    <row r="336" spans="1:41" x14ac:dyDescent="0.35">
      <c r="A336" s="47">
        <v>3</v>
      </c>
      <c r="B336" s="118">
        <v>46447</v>
      </c>
      <c r="C336" s="119">
        <v>1</v>
      </c>
      <c r="D336" s="119">
        <v>1.43430276</v>
      </c>
      <c r="E336" s="119">
        <v>1.9170273200000001</v>
      </c>
      <c r="F336" s="119">
        <v>1.09072196</v>
      </c>
      <c r="G336" s="119">
        <v>1.26990801</v>
      </c>
      <c r="H336" s="119">
        <v>1.4805664999999999</v>
      </c>
      <c r="I336" s="119">
        <v>1.71270652</v>
      </c>
      <c r="J336" s="119">
        <v>1.8838841200000001</v>
      </c>
      <c r="K336" s="119">
        <v>2.0897136999999999</v>
      </c>
      <c r="L336" s="119">
        <v>2.1717110700000002</v>
      </c>
      <c r="M336" s="2"/>
      <c r="N336" s="2"/>
      <c r="O336" s="2"/>
      <c r="P336" s="2"/>
      <c r="Q336" s="2"/>
      <c r="R336" s="2"/>
      <c r="S336" s="2"/>
      <c r="V336" s="77"/>
      <c r="W336" s="77"/>
      <c r="X336" s="77"/>
      <c r="Y336" s="77"/>
      <c r="Z336" s="77"/>
      <c r="AA336" s="77"/>
      <c r="AB336" s="77"/>
      <c r="AC336" s="77"/>
      <c r="AD336" s="77"/>
      <c r="AF336" s="80"/>
      <c r="AG336" s="80"/>
      <c r="AH336" s="80"/>
      <c r="AI336" s="80"/>
      <c r="AJ336" s="80"/>
      <c r="AK336" s="80"/>
      <c r="AL336" s="80"/>
      <c r="AM336" s="80"/>
      <c r="AN336" s="80"/>
      <c r="AO336" s="80"/>
    </row>
    <row r="337" spans="1:41" x14ac:dyDescent="0.35">
      <c r="A337" s="47">
        <v>3</v>
      </c>
      <c r="B337" s="118">
        <v>46448</v>
      </c>
      <c r="C337" s="119">
        <v>1</v>
      </c>
      <c r="D337" s="119">
        <v>1.42812692</v>
      </c>
      <c r="E337" s="119">
        <v>1.90153455</v>
      </c>
      <c r="F337" s="119">
        <v>1.0944960399999999</v>
      </c>
      <c r="G337" s="119">
        <v>1.26848307</v>
      </c>
      <c r="H337" s="119">
        <v>1.4781572599999999</v>
      </c>
      <c r="I337" s="119">
        <v>1.7022909100000001</v>
      </c>
      <c r="J337" s="119">
        <v>1.8696878699999999</v>
      </c>
      <c r="K337" s="119">
        <v>2.0713558600000002</v>
      </c>
      <c r="L337" s="119">
        <v>2.1505225100000001</v>
      </c>
      <c r="M337" s="2"/>
      <c r="N337" s="2"/>
      <c r="O337" s="2"/>
      <c r="P337" s="2"/>
      <c r="Q337" s="2"/>
      <c r="R337" s="2"/>
      <c r="S337" s="2"/>
      <c r="V337" s="77"/>
      <c r="W337" s="77"/>
      <c r="X337" s="77"/>
      <c r="Y337" s="77"/>
      <c r="Z337" s="77"/>
      <c r="AA337" s="77"/>
      <c r="AB337" s="77"/>
      <c r="AC337" s="77"/>
      <c r="AD337" s="77"/>
      <c r="AF337" s="80"/>
      <c r="AG337" s="80"/>
      <c r="AH337" s="80"/>
      <c r="AI337" s="80"/>
      <c r="AJ337" s="80"/>
      <c r="AK337" s="80"/>
      <c r="AL337" s="80"/>
      <c r="AM337" s="80"/>
      <c r="AN337" s="80"/>
      <c r="AO337" s="80"/>
    </row>
    <row r="338" spans="1:41" x14ac:dyDescent="0.35">
      <c r="A338" s="47">
        <v>3</v>
      </c>
      <c r="B338" s="118">
        <v>46449</v>
      </c>
      <c r="C338" s="119">
        <v>1</v>
      </c>
      <c r="D338" s="119">
        <v>1.4213271599999999</v>
      </c>
      <c r="E338" s="119">
        <v>1.8843484500000001</v>
      </c>
      <c r="F338" s="119">
        <v>1.0982701100000001</v>
      </c>
      <c r="G338" s="119">
        <v>1.2670581299999999</v>
      </c>
      <c r="H338" s="119">
        <v>1.4755757599999999</v>
      </c>
      <c r="I338" s="119">
        <v>1.6907656600000001</v>
      </c>
      <c r="J338" s="119">
        <v>1.85395007</v>
      </c>
      <c r="K338" s="119">
        <v>2.05097855</v>
      </c>
      <c r="L338" s="119">
        <v>2.1269877799999999</v>
      </c>
      <c r="M338" s="2"/>
      <c r="N338" s="2"/>
      <c r="O338" s="2"/>
      <c r="P338" s="2"/>
      <c r="Q338" s="2"/>
      <c r="R338" s="2"/>
      <c r="S338" s="2"/>
      <c r="V338" s="77"/>
      <c r="W338" s="77"/>
      <c r="X338" s="77"/>
      <c r="Y338" s="77"/>
      <c r="Z338" s="77"/>
      <c r="AA338" s="77"/>
      <c r="AB338" s="77"/>
      <c r="AC338" s="77"/>
      <c r="AD338" s="77"/>
      <c r="AF338" s="80"/>
      <c r="AG338" s="80"/>
      <c r="AH338" s="80"/>
      <c r="AI338" s="80"/>
      <c r="AJ338" s="80"/>
      <c r="AK338" s="80"/>
      <c r="AL338" s="80"/>
      <c r="AM338" s="80"/>
      <c r="AN338" s="80"/>
      <c r="AO338" s="80"/>
    </row>
    <row r="339" spans="1:41" x14ac:dyDescent="0.35">
      <c r="A339" s="47">
        <v>3</v>
      </c>
      <c r="B339" s="118">
        <v>46450</v>
      </c>
      <c r="C339" s="119">
        <v>1</v>
      </c>
      <c r="D339" s="119">
        <v>1.4139037699999999</v>
      </c>
      <c r="E339" s="119">
        <v>1.86546915</v>
      </c>
      <c r="F339" s="119">
        <v>1.10204419</v>
      </c>
      <c r="G339" s="119">
        <v>1.26563319</v>
      </c>
      <c r="H339" s="119">
        <v>1.4728224400000001</v>
      </c>
      <c r="I339" s="119">
        <v>1.67813097</v>
      </c>
      <c r="J339" s="119">
        <v>1.83667088</v>
      </c>
      <c r="K339" s="119">
        <v>2.0285818500000001</v>
      </c>
      <c r="L339" s="119">
        <v>2.1011069099999999</v>
      </c>
      <c r="M339" s="2"/>
      <c r="N339" s="2"/>
      <c r="O339" s="2"/>
      <c r="P339" s="2"/>
      <c r="Q339" s="2"/>
      <c r="R339" s="2"/>
      <c r="S339" s="2"/>
      <c r="V339" s="77"/>
      <c r="W339" s="77"/>
      <c r="X339" s="77"/>
      <c r="Y339" s="77"/>
      <c r="Z339" s="77"/>
      <c r="AA339" s="77"/>
      <c r="AB339" s="77"/>
      <c r="AC339" s="77"/>
      <c r="AD339" s="77"/>
      <c r="AF339" s="80"/>
      <c r="AG339" s="80"/>
      <c r="AH339" s="80"/>
      <c r="AI339" s="80"/>
      <c r="AJ339" s="80"/>
      <c r="AK339" s="80"/>
      <c r="AL339" s="80"/>
      <c r="AM339" s="80"/>
      <c r="AN339" s="80"/>
      <c r="AO339" s="80"/>
    </row>
    <row r="340" spans="1:41" x14ac:dyDescent="0.35">
      <c r="A340" s="47">
        <v>3</v>
      </c>
      <c r="B340" s="118">
        <v>46451</v>
      </c>
      <c r="C340" s="119">
        <v>1</v>
      </c>
      <c r="D340" s="119">
        <v>1.4069709500000001</v>
      </c>
      <c r="E340" s="119">
        <v>1.84822303</v>
      </c>
      <c r="F340" s="119">
        <v>1.1058182700000001</v>
      </c>
      <c r="G340" s="119">
        <v>1.26420825</v>
      </c>
      <c r="H340" s="119">
        <v>1.47003705</v>
      </c>
      <c r="I340" s="119">
        <v>1.66650393</v>
      </c>
      <c r="J340" s="119">
        <v>1.8208565800000001</v>
      </c>
      <c r="K340" s="119">
        <v>2.0081612099999999</v>
      </c>
      <c r="L340" s="119">
        <v>2.0775548499999998</v>
      </c>
      <c r="M340" s="2"/>
      <c r="N340" s="2"/>
      <c r="O340" s="2"/>
      <c r="P340" s="2"/>
      <c r="Q340" s="2"/>
      <c r="R340" s="2"/>
      <c r="S340" s="2"/>
      <c r="V340" s="77"/>
      <c r="W340" s="77"/>
      <c r="X340" s="77"/>
      <c r="Y340" s="77"/>
      <c r="Z340" s="77"/>
      <c r="AA340" s="77"/>
      <c r="AB340" s="77"/>
      <c r="AC340" s="77"/>
      <c r="AD340" s="77"/>
      <c r="AF340" s="80"/>
      <c r="AG340" s="80"/>
      <c r="AH340" s="80"/>
      <c r="AI340" s="80"/>
      <c r="AJ340" s="80"/>
      <c r="AK340" s="80"/>
      <c r="AL340" s="80"/>
      <c r="AM340" s="80"/>
      <c r="AN340" s="80"/>
      <c r="AO340" s="80"/>
    </row>
    <row r="341" spans="1:41" x14ac:dyDescent="0.35">
      <c r="A341" s="47">
        <v>3</v>
      </c>
      <c r="B341" s="118">
        <v>46452</v>
      </c>
      <c r="C341" s="119">
        <v>0</v>
      </c>
      <c r="D341" s="119">
        <v>1.48331195</v>
      </c>
      <c r="E341" s="119">
        <v>1.78669945</v>
      </c>
      <c r="F341" s="119">
        <v>0.43636026</v>
      </c>
      <c r="G341" s="119">
        <v>0.76224826999999995</v>
      </c>
      <c r="H341" s="119">
        <v>0.96421595000000004</v>
      </c>
      <c r="I341" s="119">
        <v>1.5402142000000001</v>
      </c>
      <c r="J341" s="119">
        <v>1.68524575</v>
      </c>
      <c r="K341" s="119">
        <v>1.7550064000000001</v>
      </c>
      <c r="L341" s="119">
        <v>1.82261856</v>
      </c>
      <c r="M341" s="2"/>
      <c r="N341" s="2"/>
      <c r="O341" s="2"/>
      <c r="P341" s="2"/>
      <c r="Q341" s="2"/>
      <c r="R341" s="2"/>
      <c r="S341" s="2"/>
      <c r="V341" s="77"/>
      <c r="W341" s="77"/>
      <c r="X341" s="77"/>
      <c r="Y341" s="77"/>
      <c r="Z341" s="77"/>
      <c r="AA341" s="77"/>
      <c r="AB341" s="77"/>
      <c r="AC341" s="77"/>
      <c r="AD341" s="77"/>
      <c r="AF341" s="80"/>
      <c r="AG341" s="80"/>
      <c r="AH341" s="80"/>
      <c r="AI341" s="80"/>
      <c r="AJ341" s="80"/>
      <c r="AK341" s="80"/>
      <c r="AL341" s="80"/>
      <c r="AM341" s="80"/>
      <c r="AN341" s="80"/>
      <c r="AO341" s="80"/>
    </row>
    <row r="342" spans="1:41" x14ac:dyDescent="0.35">
      <c r="A342" s="47">
        <v>3</v>
      </c>
      <c r="B342" s="118">
        <v>46453</v>
      </c>
      <c r="C342" s="119">
        <v>0</v>
      </c>
      <c r="D342" s="119">
        <v>1.4753461299999999</v>
      </c>
      <c r="E342" s="119">
        <v>1.7693288</v>
      </c>
      <c r="F342" s="119">
        <v>0.43814591000000003</v>
      </c>
      <c r="G342" s="119">
        <v>0.76251791999999996</v>
      </c>
      <c r="H342" s="119">
        <v>0.96091188000000005</v>
      </c>
      <c r="I342" s="119">
        <v>1.5285564599999999</v>
      </c>
      <c r="J342" s="119">
        <v>1.6698114900000001</v>
      </c>
      <c r="K342" s="119">
        <v>1.73622565</v>
      </c>
      <c r="L342" s="119">
        <v>1.8009802500000001</v>
      </c>
      <c r="M342" s="2"/>
      <c r="N342" s="2"/>
      <c r="O342" s="2"/>
      <c r="P342" s="2"/>
      <c r="Q342" s="2"/>
      <c r="R342" s="2"/>
      <c r="S342" s="2"/>
      <c r="V342" s="77"/>
      <c r="W342" s="77"/>
      <c r="X342" s="77"/>
      <c r="Y342" s="77"/>
      <c r="Z342" s="77"/>
      <c r="AA342" s="77"/>
      <c r="AB342" s="77"/>
      <c r="AC342" s="77"/>
      <c r="AD342" s="77"/>
      <c r="AF342" s="80"/>
      <c r="AG342" s="80"/>
      <c r="AH342" s="80"/>
      <c r="AI342" s="80"/>
      <c r="AJ342" s="80"/>
      <c r="AK342" s="80"/>
      <c r="AL342" s="80"/>
      <c r="AM342" s="80"/>
      <c r="AN342" s="80"/>
      <c r="AO342" s="80"/>
    </row>
    <row r="343" spans="1:41" x14ac:dyDescent="0.35">
      <c r="A343" s="47">
        <v>3</v>
      </c>
      <c r="B343" s="118">
        <v>46454</v>
      </c>
      <c r="C343" s="119">
        <v>1</v>
      </c>
      <c r="D343" s="119">
        <v>1.3846642</v>
      </c>
      <c r="E343" s="119">
        <v>1.79298051</v>
      </c>
      <c r="F343" s="119">
        <v>1.1171405000000001</v>
      </c>
      <c r="G343" s="119">
        <v>1.25993343</v>
      </c>
      <c r="H343" s="119">
        <v>1.4609372700000001</v>
      </c>
      <c r="I343" s="119">
        <v>1.6292042900000001</v>
      </c>
      <c r="J343" s="119">
        <v>1.77018086</v>
      </c>
      <c r="K343" s="119">
        <v>1.9427755099999999</v>
      </c>
      <c r="L343" s="119">
        <v>2.0021723900000001</v>
      </c>
      <c r="M343" s="2"/>
      <c r="N343" s="2"/>
      <c r="O343" s="2"/>
      <c r="P343" s="2"/>
      <c r="Q343" s="2"/>
      <c r="R343" s="2"/>
      <c r="S343" s="2"/>
      <c r="V343" s="77"/>
      <c r="W343" s="77"/>
      <c r="X343" s="77"/>
      <c r="Y343" s="77"/>
      <c r="Z343" s="77"/>
      <c r="AA343" s="77"/>
      <c r="AB343" s="77"/>
      <c r="AC343" s="77"/>
      <c r="AD343" s="77"/>
      <c r="AF343" s="80"/>
      <c r="AG343" s="80"/>
      <c r="AH343" s="80"/>
      <c r="AI343" s="80"/>
      <c r="AJ343" s="80"/>
      <c r="AK343" s="80"/>
      <c r="AL343" s="80"/>
      <c r="AM343" s="80"/>
      <c r="AN343" s="80"/>
      <c r="AO343" s="80"/>
    </row>
    <row r="344" spans="1:41" x14ac:dyDescent="0.35">
      <c r="A344" s="47">
        <v>3</v>
      </c>
      <c r="B344" s="118">
        <v>46455</v>
      </c>
      <c r="C344" s="119">
        <v>1</v>
      </c>
      <c r="D344" s="119">
        <v>1.3763560100000001</v>
      </c>
      <c r="E344" s="119">
        <v>1.77229021</v>
      </c>
      <c r="F344" s="119">
        <v>1.12091458</v>
      </c>
      <c r="G344" s="119">
        <v>1.2585084900000001</v>
      </c>
      <c r="H344" s="119">
        <v>1.45761195</v>
      </c>
      <c r="I344" s="119">
        <v>1.6152604100000001</v>
      </c>
      <c r="J344" s="119">
        <v>1.7512101499999999</v>
      </c>
      <c r="K344" s="119">
        <v>1.9182743799999999</v>
      </c>
      <c r="L344" s="119">
        <v>1.9739113699999999</v>
      </c>
      <c r="M344" s="2"/>
      <c r="N344" s="2"/>
      <c r="O344" s="2"/>
      <c r="P344" s="2"/>
      <c r="Q344" s="2"/>
      <c r="R344" s="2"/>
      <c r="S344" s="2"/>
      <c r="V344" s="77"/>
      <c r="W344" s="77"/>
      <c r="X344" s="77"/>
      <c r="Y344" s="77"/>
      <c r="Z344" s="77"/>
      <c r="AA344" s="77"/>
      <c r="AB344" s="77"/>
      <c r="AC344" s="77"/>
      <c r="AD344" s="77"/>
      <c r="AF344" s="80"/>
      <c r="AG344" s="80"/>
      <c r="AH344" s="80"/>
      <c r="AI344" s="80"/>
      <c r="AJ344" s="80"/>
      <c r="AK344" s="80"/>
      <c r="AL344" s="80"/>
      <c r="AM344" s="80"/>
      <c r="AN344" s="80"/>
      <c r="AO344" s="80"/>
    </row>
    <row r="345" spans="1:41" x14ac:dyDescent="0.35">
      <c r="A345" s="47">
        <v>3</v>
      </c>
      <c r="B345" s="118">
        <v>46456</v>
      </c>
      <c r="C345" s="119">
        <v>1</v>
      </c>
      <c r="D345" s="119">
        <v>1.36854057</v>
      </c>
      <c r="E345" s="119">
        <v>1.75323406</v>
      </c>
      <c r="F345" s="119">
        <v>1.12468865</v>
      </c>
      <c r="G345" s="119">
        <v>1.2570835499999999</v>
      </c>
      <c r="H345" s="119">
        <v>1.4542578900000001</v>
      </c>
      <c r="I345" s="119">
        <v>1.6023258300000001</v>
      </c>
      <c r="J345" s="119">
        <v>1.7337055800000001</v>
      </c>
      <c r="K345" s="119">
        <v>1.8957500199999999</v>
      </c>
      <c r="L345" s="119">
        <v>1.94797943</v>
      </c>
      <c r="M345" s="2"/>
      <c r="N345" s="2"/>
      <c r="O345" s="2"/>
      <c r="P345" s="2"/>
      <c r="Q345" s="2"/>
      <c r="R345" s="2"/>
      <c r="S345" s="2"/>
      <c r="V345" s="77"/>
      <c r="W345" s="77"/>
      <c r="X345" s="77"/>
      <c r="Y345" s="77"/>
      <c r="Z345" s="77"/>
      <c r="AA345" s="77"/>
      <c r="AB345" s="77"/>
      <c r="AC345" s="77"/>
      <c r="AD345" s="77"/>
      <c r="AF345" s="80"/>
      <c r="AG345" s="80"/>
      <c r="AH345" s="80"/>
      <c r="AI345" s="80"/>
      <c r="AJ345" s="80"/>
      <c r="AK345" s="80"/>
      <c r="AL345" s="80"/>
      <c r="AM345" s="80"/>
      <c r="AN345" s="80"/>
      <c r="AO345" s="80"/>
    </row>
    <row r="346" spans="1:41" x14ac:dyDescent="0.35">
      <c r="A346" s="47">
        <v>3</v>
      </c>
      <c r="B346" s="118">
        <v>46457</v>
      </c>
      <c r="C346" s="119">
        <v>1</v>
      </c>
      <c r="D346" s="119">
        <v>1.36010454</v>
      </c>
      <c r="E346" s="119">
        <v>1.7324860900000001</v>
      </c>
      <c r="F346" s="119">
        <v>1.1284627300000001</v>
      </c>
      <c r="G346" s="119">
        <v>1.25565861</v>
      </c>
      <c r="H346" s="119">
        <v>1.4507366799999999</v>
      </c>
      <c r="I346" s="119">
        <v>1.5882841599999999</v>
      </c>
      <c r="J346" s="119">
        <v>1.71466137</v>
      </c>
      <c r="K346" s="119">
        <v>1.87120726</v>
      </c>
      <c r="L346" s="119">
        <v>1.9197017599999999</v>
      </c>
      <c r="M346" s="2"/>
      <c r="N346" s="2"/>
      <c r="O346" s="2"/>
      <c r="P346" s="2"/>
      <c r="Q346" s="2"/>
      <c r="R346" s="2"/>
      <c r="S346" s="2"/>
      <c r="V346" s="77"/>
      <c r="W346" s="77"/>
      <c r="X346" s="77"/>
      <c r="Y346" s="77"/>
      <c r="Z346" s="77"/>
      <c r="AA346" s="77"/>
      <c r="AB346" s="77"/>
      <c r="AC346" s="77"/>
      <c r="AD346" s="77"/>
      <c r="AF346" s="80"/>
      <c r="AG346" s="80"/>
      <c r="AH346" s="80"/>
      <c r="AI346" s="80"/>
      <c r="AJ346" s="80"/>
      <c r="AK346" s="80"/>
      <c r="AL346" s="80"/>
      <c r="AM346" s="80"/>
      <c r="AN346" s="80"/>
      <c r="AO346" s="80"/>
    </row>
    <row r="347" spans="1:41" x14ac:dyDescent="0.35">
      <c r="A347" s="47">
        <v>3</v>
      </c>
      <c r="B347" s="118">
        <v>46458</v>
      </c>
      <c r="C347" s="119">
        <v>1</v>
      </c>
      <c r="D347" s="119">
        <v>1.35216238</v>
      </c>
      <c r="E347" s="119">
        <v>1.7133727700000001</v>
      </c>
      <c r="F347" s="119">
        <v>1.13223681</v>
      </c>
      <c r="G347" s="119">
        <v>1.2542336700000001</v>
      </c>
      <c r="H347" s="119">
        <v>1.4471884399999999</v>
      </c>
      <c r="I347" s="119">
        <v>1.57525264</v>
      </c>
      <c r="J347" s="119">
        <v>1.6970839499999999</v>
      </c>
      <c r="K347" s="119">
        <v>1.8486416299999999</v>
      </c>
      <c r="L347" s="119">
        <v>1.8937533200000001</v>
      </c>
      <c r="M347" s="2"/>
      <c r="N347" s="2"/>
      <c r="O347" s="2"/>
      <c r="P347" s="2"/>
      <c r="Q347" s="2"/>
      <c r="R347" s="2"/>
      <c r="S347" s="2"/>
      <c r="V347" s="77"/>
      <c r="W347" s="77"/>
      <c r="X347" s="77"/>
      <c r="Y347" s="77"/>
      <c r="Z347" s="77"/>
      <c r="AA347" s="77"/>
      <c r="AB347" s="77"/>
      <c r="AC347" s="77"/>
      <c r="AD347" s="77"/>
      <c r="AF347" s="80"/>
      <c r="AG347" s="80"/>
      <c r="AH347" s="80"/>
      <c r="AI347" s="80"/>
      <c r="AJ347" s="80"/>
      <c r="AK347" s="80"/>
      <c r="AL347" s="80"/>
      <c r="AM347" s="80"/>
      <c r="AN347" s="80"/>
      <c r="AO347" s="80"/>
    </row>
    <row r="348" spans="1:41" x14ac:dyDescent="0.35">
      <c r="A348" s="47">
        <v>3</v>
      </c>
      <c r="B348" s="118">
        <v>46459</v>
      </c>
      <c r="C348" s="119">
        <v>0</v>
      </c>
      <c r="D348" s="119">
        <v>1.4197191300000001</v>
      </c>
      <c r="E348" s="119">
        <v>1.64779176</v>
      </c>
      <c r="F348" s="119">
        <v>0.44885981000000003</v>
      </c>
      <c r="G348" s="119">
        <v>0.76413586</v>
      </c>
      <c r="H348" s="119">
        <v>0.93788477000000003</v>
      </c>
      <c r="I348" s="119">
        <v>1.4470365000000001</v>
      </c>
      <c r="J348" s="119">
        <v>1.56184711</v>
      </c>
      <c r="K348" s="119">
        <v>1.6048057499999999</v>
      </c>
      <c r="L348" s="119">
        <v>1.64953141</v>
      </c>
      <c r="M348" s="2"/>
      <c r="N348" s="2"/>
      <c r="O348" s="2"/>
      <c r="P348" s="2"/>
      <c r="Q348" s="2"/>
      <c r="R348" s="2"/>
      <c r="S348" s="2"/>
      <c r="V348" s="77"/>
      <c r="W348" s="77"/>
      <c r="X348" s="77"/>
      <c r="Y348" s="77"/>
      <c r="Z348" s="77"/>
      <c r="AA348" s="77"/>
      <c r="AB348" s="77"/>
      <c r="AC348" s="77"/>
      <c r="AD348" s="77"/>
      <c r="AF348" s="80"/>
      <c r="AG348" s="80"/>
      <c r="AH348" s="80"/>
      <c r="AI348" s="80"/>
      <c r="AJ348" s="80"/>
      <c r="AK348" s="80"/>
      <c r="AL348" s="80"/>
      <c r="AM348" s="80"/>
      <c r="AN348" s="80"/>
      <c r="AO348" s="80"/>
    </row>
    <row r="349" spans="1:41" x14ac:dyDescent="0.35">
      <c r="A349" s="47">
        <v>3</v>
      </c>
      <c r="B349" s="118">
        <v>46460</v>
      </c>
      <c r="C349" s="119">
        <v>0</v>
      </c>
      <c r="D349" s="119">
        <v>1.4106825000000001</v>
      </c>
      <c r="E349" s="119">
        <v>1.6285661300000001</v>
      </c>
      <c r="F349" s="119">
        <v>0.45064546</v>
      </c>
      <c r="G349" s="119">
        <v>0.76440551999999995</v>
      </c>
      <c r="H349" s="119">
        <v>0.93404246999999996</v>
      </c>
      <c r="I349" s="119">
        <v>1.43404044</v>
      </c>
      <c r="J349" s="119">
        <v>1.5447148100000001</v>
      </c>
      <c r="K349" s="119">
        <v>1.5840539499999999</v>
      </c>
      <c r="L349" s="119">
        <v>1.6256895899999999</v>
      </c>
      <c r="M349" s="2"/>
      <c r="N349" s="2"/>
      <c r="O349" s="2"/>
      <c r="P349" s="2"/>
      <c r="Q349" s="2"/>
      <c r="R349" s="2"/>
      <c r="S349" s="2"/>
      <c r="V349" s="77"/>
      <c r="W349" s="77"/>
      <c r="X349" s="77"/>
      <c r="Y349" s="77"/>
      <c r="Z349" s="77"/>
      <c r="AA349" s="77"/>
      <c r="AB349" s="77"/>
      <c r="AC349" s="77"/>
      <c r="AD349" s="77"/>
      <c r="AF349" s="80"/>
      <c r="AG349" s="80"/>
      <c r="AH349" s="80"/>
      <c r="AI349" s="80"/>
      <c r="AJ349" s="80"/>
      <c r="AK349" s="80"/>
      <c r="AL349" s="80"/>
      <c r="AM349" s="80"/>
      <c r="AN349" s="80"/>
      <c r="AO349" s="80"/>
    </row>
    <row r="350" spans="1:41" x14ac:dyDescent="0.35">
      <c r="A350" s="47">
        <v>3</v>
      </c>
      <c r="B350" s="118">
        <v>46461</v>
      </c>
      <c r="C350" s="119">
        <v>1</v>
      </c>
      <c r="D350" s="119">
        <v>1.32573604</v>
      </c>
      <c r="E350" s="119">
        <v>1.64921253</v>
      </c>
      <c r="F350" s="119">
        <v>1.14355904</v>
      </c>
      <c r="G350" s="119">
        <v>1.2499588399999999</v>
      </c>
      <c r="H350" s="119">
        <v>1.43569506</v>
      </c>
      <c r="I350" s="119">
        <v>1.5316398200000001</v>
      </c>
      <c r="J350" s="119">
        <v>1.6381255800000001</v>
      </c>
      <c r="K350" s="119">
        <v>1.7728329</v>
      </c>
      <c r="L350" s="119">
        <v>1.8065097299999999</v>
      </c>
      <c r="M350" s="2"/>
      <c r="N350" s="2"/>
      <c r="O350" s="2"/>
      <c r="P350" s="2"/>
      <c r="Q350" s="2"/>
      <c r="R350" s="2"/>
      <c r="S350" s="2"/>
      <c r="V350" s="77"/>
      <c r="W350" s="77"/>
      <c r="X350" s="77"/>
      <c r="Y350" s="77"/>
      <c r="Z350" s="77"/>
      <c r="AA350" s="77"/>
      <c r="AB350" s="77"/>
      <c r="AC350" s="77"/>
      <c r="AD350" s="77"/>
      <c r="AF350" s="80"/>
      <c r="AG350" s="80"/>
      <c r="AH350" s="80"/>
      <c r="AI350" s="80"/>
      <c r="AJ350" s="80"/>
      <c r="AK350" s="80"/>
      <c r="AL350" s="80"/>
      <c r="AM350" s="80"/>
      <c r="AN350" s="80"/>
      <c r="AO350" s="80"/>
    </row>
    <row r="351" spans="1:41" x14ac:dyDescent="0.35">
      <c r="A351" s="47">
        <v>3</v>
      </c>
      <c r="B351" s="118">
        <v>46462</v>
      </c>
      <c r="C351" s="119">
        <v>1</v>
      </c>
      <c r="D351" s="119">
        <v>1.31699115</v>
      </c>
      <c r="E351" s="119">
        <v>1.62832522</v>
      </c>
      <c r="F351" s="119">
        <v>1.1453256199999999</v>
      </c>
      <c r="G351" s="119">
        <v>1.2481373</v>
      </c>
      <c r="H351" s="119">
        <v>1.4317005700000001</v>
      </c>
      <c r="I351" s="119">
        <v>1.5173618799999999</v>
      </c>
      <c r="J351" s="119">
        <v>1.6189038200000001</v>
      </c>
      <c r="K351" s="119">
        <v>1.7481895700000001</v>
      </c>
      <c r="L351" s="119">
        <v>1.77819182</v>
      </c>
      <c r="M351" s="2"/>
      <c r="N351" s="2"/>
      <c r="O351" s="2"/>
      <c r="P351" s="2"/>
      <c r="Q351" s="2"/>
      <c r="R351" s="2"/>
      <c r="S351" s="2"/>
      <c r="V351" s="77"/>
      <c r="W351" s="77"/>
      <c r="X351" s="77"/>
      <c r="Y351" s="77"/>
      <c r="Z351" s="77"/>
      <c r="AA351" s="77"/>
      <c r="AB351" s="77"/>
      <c r="AC351" s="77"/>
      <c r="AD351" s="77"/>
      <c r="AF351" s="80"/>
      <c r="AG351" s="80"/>
      <c r="AH351" s="80"/>
      <c r="AI351" s="80"/>
      <c r="AJ351" s="80"/>
      <c r="AK351" s="80"/>
      <c r="AL351" s="80"/>
      <c r="AM351" s="80"/>
      <c r="AN351" s="80"/>
      <c r="AO351" s="80"/>
    </row>
    <row r="352" spans="1:41" x14ac:dyDescent="0.35">
      <c r="A352" s="47">
        <v>3</v>
      </c>
      <c r="B352" s="118">
        <v>46463</v>
      </c>
      <c r="C352" s="119">
        <v>1</v>
      </c>
      <c r="D352" s="119">
        <v>1.30874354</v>
      </c>
      <c r="E352" s="119">
        <v>1.6090741099999999</v>
      </c>
      <c r="F352" s="119">
        <v>1.1470922100000001</v>
      </c>
      <c r="G352" s="119">
        <v>1.2463157499999999</v>
      </c>
      <c r="H352" s="119">
        <v>1.42768429</v>
      </c>
      <c r="I352" s="119">
        <v>1.5040967199999999</v>
      </c>
      <c r="J352" s="119">
        <v>1.60115081</v>
      </c>
      <c r="K352" s="119">
        <v>1.7255244700000001</v>
      </c>
      <c r="L352" s="119">
        <v>1.7522035899999999</v>
      </c>
      <c r="M352" s="2"/>
      <c r="N352" s="2"/>
      <c r="O352" s="2"/>
      <c r="P352" s="2"/>
      <c r="Q352" s="2"/>
      <c r="R352" s="2"/>
      <c r="S352" s="2"/>
      <c r="V352" s="77"/>
      <c r="W352" s="77"/>
      <c r="X352" s="77"/>
      <c r="Y352" s="77"/>
      <c r="Z352" s="77"/>
      <c r="AA352" s="77"/>
      <c r="AB352" s="77"/>
      <c r="AC352" s="77"/>
      <c r="AD352" s="77"/>
      <c r="AF352" s="80"/>
      <c r="AG352" s="80"/>
      <c r="AH352" s="80"/>
      <c r="AI352" s="80"/>
      <c r="AJ352" s="80"/>
      <c r="AK352" s="80"/>
      <c r="AL352" s="80"/>
      <c r="AM352" s="80"/>
      <c r="AN352" s="80"/>
      <c r="AO352" s="80"/>
    </row>
    <row r="353" spans="1:41" x14ac:dyDescent="0.35">
      <c r="A353" s="47">
        <v>3</v>
      </c>
      <c r="B353" s="118">
        <v>46464</v>
      </c>
      <c r="C353" s="119">
        <v>1</v>
      </c>
      <c r="D353" s="119">
        <v>1.29932319</v>
      </c>
      <c r="E353" s="119">
        <v>1.58647023</v>
      </c>
      <c r="F353" s="119">
        <v>1.1488588</v>
      </c>
      <c r="G353" s="119">
        <v>1.2444942000000001</v>
      </c>
      <c r="H353" s="119">
        <v>1.4234385700000001</v>
      </c>
      <c r="I353" s="119">
        <v>1.4886697</v>
      </c>
      <c r="J353" s="119">
        <v>1.58035785</v>
      </c>
      <c r="K353" s="119">
        <v>1.69884488</v>
      </c>
      <c r="L353" s="119">
        <v>1.7215328000000001</v>
      </c>
      <c r="M353" s="2"/>
      <c r="N353" s="2"/>
      <c r="O353" s="2"/>
      <c r="P353" s="2"/>
      <c r="Q353" s="2"/>
      <c r="R353" s="2"/>
      <c r="S353" s="2"/>
      <c r="V353" s="77"/>
      <c r="W353" s="77"/>
      <c r="X353" s="77"/>
      <c r="Y353" s="77"/>
      <c r="Z353" s="77"/>
      <c r="AA353" s="77"/>
      <c r="AB353" s="77"/>
      <c r="AC353" s="77"/>
      <c r="AD353" s="77"/>
      <c r="AF353" s="80"/>
      <c r="AG353" s="80"/>
      <c r="AH353" s="80"/>
      <c r="AI353" s="80"/>
      <c r="AJ353" s="80"/>
      <c r="AK353" s="80"/>
      <c r="AL353" s="80"/>
      <c r="AM353" s="80"/>
      <c r="AN353" s="80"/>
      <c r="AO353" s="80"/>
    </row>
    <row r="354" spans="1:41" x14ac:dyDescent="0.35">
      <c r="A354" s="47">
        <v>3</v>
      </c>
      <c r="B354" s="118">
        <v>46465</v>
      </c>
      <c r="C354" s="119">
        <v>1</v>
      </c>
      <c r="D354" s="119">
        <v>1.2904017299999999</v>
      </c>
      <c r="E354" s="119">
        <v>1.56550327</v>
      </c>
      <c r="F354" s="119">
        <v>1.1506253799999999</v>
      </c>
      <c r="G354" s="119">
        <v>1.24267266</v>
      </c>
      <c r="H354" s="119">
        <v>1.4191735000000001</v>
      </c>
      <c r="I354" s="119">
        <v>1.47425669</v>
      </c>
      <c r="J354" s="119">
        <v>1.5610345800000001</v>
      </c>
      <c r="K354" s="119">
        <v>1.6741440400000001</v>
      </c>
      <c r="L354" s="119">
        <v>1.69319189</v>
      </c>
      <c r="M354" s="2"/>
      <c r="N354" s="2"/>
      <c r="O354" s="2"/>
      <c r="P354" s="2"/>
      <c r="Q354" s="2"/>
      <c r="R354" s="2"/>
      <c r="S354" s="2"/>
      <c r="V354" s="77"/>
      <c r="W354" s="77"/>
      <c r="X354" s="77"/>
      <c r="Y354" s="77"/>
      <c r="Z354" s="77"/>
      <c r="AA354" s="77"/>
      <c r="AB354" s="77"/>
      <c r="AC354" s="77"/>
      <c r="AD354" s="77"/>
      <c r="AF354" s="80"/>
      <c r="AG354" s="80"/>
      <c r="AH354" s="80"/>
      <c r="AI354" s="80"/>
      <c r="AJ354" s="80"/>
      <c r="AK354" s="80"/>
      <c r="AL354" s="80"/>
      <c r="AM354" s="80"/>
      <c r="AN354" s="80"/>
      <c r="AO354" s="80"/>
    </row>
    <row r="355" spans="1:41" x14ac:dyDescent="0.35">
      <c r="A355" s="47">
        <v>3</v>
      </c>
      <c r="B355" s="118">
        <v>46466</v>
      </c>
      <c r="C355" s="119">
        <v>0</v>
      </c>
      <c r="D355" s="119">
        <v>1.35003319</v>
      </c>
      <c r="E355" s="119">
        <v>1.49929135</v>
      </c>
      <c r="F355" s="119">
        <v>0.44771007000000002</v>
      </c>
      <c r="G355" s="119">
        <v>0.75169037999999999</v>
      </c>
      <c r="H355" s="119">
        <v>0.90830233000000005</v>
      </c>
      <c r="I355" s="119">
        <v>1.3467021299999999</v>
      </c>
      <c r="J355" s="119">
        <v>1.42954157</v>
      </c>
      <c r="K355" s="119">
        <v>1.4444992699999999</v>
      </c>
      <c r="L355" s="119">
        <v>1.4653198300000001</v>
      </c>
      <c r="M355" s="2"/>
      <c r="N355" s="2"/>
      <c r="O355" s="2"/>
      <c r="P355" s="2"/>
      <c r="Q355" s="2"/>
      <c r="R355" s="2"/>
      <c r="S355" s="2"/>
      <c r="V355" s="77"/>
      <c r="W355" s="77"/>
      <c r="X355" s="77"/>
      <c r="Y355" s="77"/>
      <c r="Z355" s="77"/>
      <c r="AA355" s="77"/>
      <c r="AB355" s="77"/>
      <c r="AC355" s="77"/>
      <c r="AD355" s="77"/>
      <c r="AF355" s="80"/>
      <c r="AG355" s="80"/>
      <c r="AH355" s="80"/>
      <c r="AI355" s="80"/>
      <c r="AJ355" s="80"/>
      <c r="AK355" s="80"/>
      <c r="AL355" s="80"/>
      <c r="AM355" s="80"/>
      <c r="AN355" s="80"/>
      <c r="AO355" s="80"/>
    </row>
    <row r="356" spans="1:41" x14ac:dyDescent="0.35">
      <c r="A356" s="47">
        <v>3</v>
      </c>
      <c r="B356" s="118">
        <v>46467</v>
      </c>
      <c r="C356" s="119">
        <v>0</v>
      </c>
      <c r="D356" s="119">
        <v>1.33929889</v>
      </c>
      <c r="E356" s="119">
        <v>1.47654664</v>
      </c>
      <c r="F356" s="119">
        <v>0.44676587000000001</v>
      </c>
      <c r="G356" s="119">
        <v>0.74909342000000001</v>
      </c>
      <c r="H356" s="119">
        <v>0.90372001999999996</v>
      </c>
      <c r="I356" s="119">
        <v>1.3313087699999999</v>
      </c>
      <c r="J356" s="119">
        <v>1.4092635</v>
      </c>
      <c r="K356" s="119">
        <v>1.41995589</v>
      </c>
      <c r="L356" s="119">
        <v>1.4371352399999999</v>
      </c>
      <c r="M356" s="2"/>
      <c r="N356" s="2"/>
      <c r="O356" s="2"/>
      <c r="P356" s="2"/>
      <c r="Q356" s="2"/>
      <c r="R356" s="2"/>
      <c r="S356" s="2"/>
      <c r="V356" s="77"/>
      <c r="W356" s="77"/>
      <c r="X356" s="77"/>
      <c r="Y356" s="77"/>
      <c r="Z356" s="77"/>
      <c r="AA356" s="77"/>
      <c r="AB356" s="77"/>
      <c r="AC356" s="77"/>
      <c r="AD356" s="77"/>
      <c r="AF356" s="80"/>
      <c r="AG356" s="80"/>
      <c r="AH356" s="80"/>
      <c r="AI356" s="80"/>
      <c r="AJ356" s="80"/>
      <c r="AK356" s="80"/>
      <c r="AL356" s="80"/>
      <c r="AM356" s="80"/>
      <c r="AN356" s="80"/>
      <c r="AO356" s="80"/>
    </row>
    <row r="357" spans="1:41" x14ac:dyDescent="0.35">
      <c r="A357" s="47">
        <v>3</v>
      </c>
      <c r="B357" s="118">
        <v>46468</v>
      </c>
      <c r="C357" s="119">
        <v>1</v>
      </c>
      <c r="D357" s="119">
        <v>1.26218377</v>
      </c>
      <c r="E357" s="119">
        <v>1.4991229500000001</v>
      </c>
      <c r="F357" s="119">
        <v>1.1559251399999999</v>
      </c>
      <c r="G357" s="119">
        <v>1.23720802</v>
      </c>
      <c r="H357" s="119">
        <v>1.4057185800000001</v>
      </c>
      <c r="I357" s="119">
        <v>1.428641</v>
      </c>
      <c r="J357" s="119">
        <v>1.4998633800000001</v>
      </c>
      <c r="K357" s="119">
        <v>1.5959355900000001</v>
      </c>
      <c r="L357" s="119">
        <v>1.60345001</v>
      </c>
      <c r="M357" s="2"/>
      <c r="N357" s="2"/>
      <c r="O357" s="2"/>
      <c r="P357" s="2"/>
      <c r="Q357" s="2"/>
      <c r="R357" s="2"/>
      <c r="S357" s="2"/>
      <c r="V357" s="77"/>
      <c r="W357" s="77"/>
      <c r="X357" s="77"/>
      <c r="Y357" s="77"/>
      <c r="Z357" s="77"/>
      <c r="AA357" s="77"/>
      <c r="AB357" s="77"/>
      <c r="AC357" s="77"/>
      <c r="AD357" s="77"/>
      <c r="AF357" s="80"/>
      <c r="AG357" s="80"/>
      <c r="AH357" s="80"/>
      <c r="AI357" s="80"/>
      <c r="AJ357" s="80"/>
      <c r="AK357" s="80"/>
      <c r="AL357" s="80"/>
      <c r="AM357" s="80"/>
      <c r="AN357" s="80"/>
      <c r="AO357" s="80"/>
    </row>
    <row r="358" spans="1:41" x14ac:dyDescent="0.35">
      <c r="A358" s="47">
        <v>3</v>
      </c>
      <c r="B358" s="118">
        <v>46469</v>
      </c>
      <c r="C358" s="119">
        <v>1</v>
      </c>
      <c r="D358" s="119">
        <v>1.25248194</v>
      </c>
      <c r="E358" s="119">
        <v>1.47639209</v>
      </c>
      <c r="F358" s="119">
        <v>1.15769173</v>
      </c>
      <c r="G358" s="119">
        <v>1.2353864699999999</v>
      </c>
      <c r="H358" s="119">
        <v>1.40104154</v>
      </c>
      <c r="I358" s="119">
        <v>1.41299866</v>
      </c>
      <c r="J358" s="119">
        <v>1.47890861</v>
      </c>
      <c r="K358" s="119">
        <v>1.56916433</v>
      </c>
      <c r="L358" s="119">
        <v>1.5727425500000001</v>
      </c>
      <c r="M358" s="2"/>
      <c r="N358" s="2"/>
      <c r="O358" s="2"/>
      <c r="P358" s="2"/>
      <c r="Q358" s="2"/>
      <c r="R358" s="2"/>
      <c r="S358" s="2"/>
      <c r="V358" s="77"/>
      <c r="W358" s="77"/>
      <c r="X358" s="77"/>
      <c r="Y358" s="77"/>
      <c r="Z358" s="77"/>
      <c r="AA358" s="77"/>
      <c r="AB358" s="77"/>
      <c r="AC358" s="77"/>
      <c r="AD358" s="77"/>
      <c r="AF358" s="80"/>
      <c r="AG358" s="80"/>
      <c r="AH358" s="80"/>
      <c r="AI358" s="80"/>
      <c r="AJ358" s="80"/>
      <c r="AK358" s="80"/>
      <c r="AL358" s="80"/>
      <c r="AM358" s="80"/>
      <c r="AN358" s="80"/>
      <c r="AO358" s="80"/>
    </row>
    <row r="359" spans="1:41" x14ac:dyDescent="0.35">
      <c r="A359" s="47">
        <v>3</v>
      </c>
      <c r="B359" s="118">
        <v>46470</v>
      </c>
      <c r="C359" s="119">
        <v>1</v>
      </c>
      <c r="D359" s="119">
        <v>1.2427265999999999</v>
      </c>
      <c r="E359" s="119">
        <v>1.45363709</v>
      </c>
      <c r="F359" s="119">
        <v>1.15945831</v>
      </c>
      <c r="G359" s="119">
        <v>1.2335649200000001</v>
      </c>
      <c r="H359" s="119">
        <v>1.3962825000000001</v>
      </c>
      <c r="I359" s="119">
        <v>1.3973154000000001</v>
      </c>
      <c r="J359" s="119">
        <v>1.45792308</v>
      </c>
      <c r="K359" s="119">
        <v>1.5423756500000001</v>
      </c>
      <c r="L359" s="119">
        <v>1.5420281199999999</v>
      </c>
      <c r="M359" s="2"/>
      <c r="N359" s="2"/>
      <c r="O359" s="2"/>
      <c r="P359" s="2"/>
      <c r="Q359" s="2"/>
      <c r="R359" s="2"/>
      <c r="S359" s="2"/>
      <c r="V359" s="77"/>
      <c r="W359" s="77"/>
      <c r="X359" s="77"/>
      <c r="Y359" s="77"/>
      <c r="Z359" s="77"/>
      <c r="AA359" s="77"/>
      <c r="AB359" s="77"/>
      <c r="AC359" s="77"/>
      <c r="AD359" s="77"/>
      <c r="AF359" s="80"/>
      <c r="AG359" s="80"/>
      <c r="AH359" s="80"/>
      <c r="AI359" s="80"/>
      <c r="AJ359" s="80"/>
      <c r="AK359" s="80"/>
      <c r="AL359" s="80"/>
      <c r="AM359" s="80"/>
      <c r="AN359" s="80"/>
      <c r="AO359" s="80"/>
    </row>
    <row r="360" spans="1:41" x14ac:dyDescent="0.35">
      <c r="A360" s="47">
        <v>3</v>
      </c>
      <c r="B360" s="118">
        <v>46471</v>
      </c>
      <c r="C360" s="119">
        <v>1</v>
      </c>
      <c r="D360" s="119">
        <v>1.2329187399999999</v>
      </c>
      <c r="E360" s="119">
        <v>1.4308584</v>
      </c>
      <c r="F360" s="119">
        <v>1.1612248999999999</v>
      </c>
      <c r="G360" s="119">
        <v>1.2317433799999999</v>
      </c>
      <c r="H360" s="119">
        <v>1.3914429800000001</v>
      </c>
      <c r="I360" s="119">
        <v>1.38159195</v>
      </c>
      <c r="J360" s="119">
        <v>1.43690736</v>
      </c>
      <c r="K360" s="119">
        <v>1.51556986</v>
      </c>
      <c r="L360" s="119">
        <v>1.51130685</v>
      </c>
      <c r="M360" s="2"/>
      <c r="N360" s="2"/>
      <c r="O360" s="2"/>
      <c r="P360" s="2"/>
      <c r="Q360" s="2"/>
      <c r="R360" s="2"/>
      <c r="S360" s="2"/>
      <c r="V360" s="77"/>
      <c r="W360" s="77"/>
      <c r="X360" s="77"/>
      <c r="Y360" s="77"/>
      <c r="Z360" s="77"/>
      <c r="AA360" s="77"/>
      <c r="AB360" s="77"/>
      <c r="AC360" s="77"/>
      <c r="AD360" s="77"/>
      <c r="AF360" s="80"/>
      <c r="AG360" s="80"/>
      <c r="AH360" s="80"/>
      <c r="AI360" s="80"/>
      <c r="AJ360" s="80"/>
      <c r="AK360" s="80"/>
      <c r="AL360" s="80"/>
      <c r="AM360" s="80"/>
      <c r="AN360" s="80"/>
      <c r="AO360" s="80"/>
    </row>
    <row r="361" spans="1:41" x14ac:dyDescent="0.35">
      <c r="A361" s="47">
        <v>3</v>
      </c>
      <c r="B361" s="118">
        <v>46472</v>
      </c>
      <c r="C361" s="119">
        <v>1</v>
      </c>
      <c r="D361" s="119">
        <v>1.2236163099999999</v>
      </c>
      <c r="E361" s="119">
        <v>1.40971958</v>
      </c>
      <c r="F361" s="119">
        <v>1.16299149</v>
      </c>
      <c r="G361" s="119">
        <v>1.2299218300000001</v>
      </c>
      <c r="H361" s="119">
        <v>1.38659416</v>
      </c>
      <c r="I361" s="119">
        <v>1.3668875199999999</v>
      </c>
      <c r="J361" s="119">
        <v>1.4173650799999999</v>
      </c>
      <c r="K361" s="119">
        <v>1.4907449699999999</v>
      </c>
      <c r="L361" s="119">
        <v>1.48291631</v>
      </c>
      <c r="M361" s="2"/>
      <c r="N361" s="2"/>
      <c r="O361" s="2"/>
      <c r="P361" s="2"/>
      <c r="Q361" s="2"/>
      <c r="R361" s="2"/>
      <c r="S361" s="2"/>
      <c r="V361" s="77"/>
      <c r="W361" s="77"/>
      <c r="X361" s="77"/>
      <c r="Y361" s="77"/>
      <c r="Z361" s="77"/>
      <c r="AA361" s="77"/>
      <c r="AB361" s="77"/>
      <c r="AC361" s="77"/>
      <c r="AD361" s="77"/>
      <c r="AF361" s="80"/>
      <c r="AG361" s="80"/>
      <c r="AH361" s="80"/>
      <c r="AI361" s="80"/>
      <c r="AJ361" s="80"/>
      <c r="AK361" s="80"/>
      <c r="AL361" s="80"/>
      <c r="AM361" s="80"/>
      <c r="AN361" s="80"/>
      <c r="AO361" s="80"/>
    </row>
    <row r="362" spans="1:41" x14ac:dyDescent="0.35">
      <c r="A362" s="47">
        <v>3</v>
      </c>
      <c r="B362" s="118">
        <v>46473</v>
      </c>
      <c r="C362" s="119">
        <v>0</v>
      </c>
      <c r="D362" s="119">
        <v>1.27516037</v>
      </c>
      <c r="E362" s="119">
        <v>1.34298242</v>
      </c>
      <c r="F362" s="119">
        <v>0.44110062</v>
      </c>
      <c r="G362" s="119">
        <v>0.73351166000000001</v>
      </c>
      <c r="H362" s="119">
        <v>0.87588213000000004</v>
      </c>
      <c r="I362" s="119">
        <v>1.24044584</v>
      </c>
      <c r="J362" s="119">
        <v>1.2899343999999999</v>
      </c>
      <c r="K362" s="119">
        <v>1.2760022099999999</v>
      </c>
      <c r="L362" s="119">
        <v>1.27216353</v>
      </c>
      <c r="M362" s="2"/>
      <c r="N362" s="2"/>
      <c r="O362" s="2"/>
      <c r="P362" s="2"/>
      <c r="Q362" s="2"/>
      <c r="R362" s="2"/>
      <c r="S362" s="2"/>
      <c r="V362" s="77"/>
      <c r="W362" s="77"/>
      <c r="X362" s="77"/>
      <c r="Y362" s="77"/>
      <c r="Z362" s="77"/>
      <c r="AA362" s="77"/>
      <c r="AB362" s="77"/>
      <c r="AC362" s="77"/>
      <c r="AD362" s="77"/>
      <c r="AF362" s="80"/>
      <c r="AG362" s="80"/>
      <c r="AH362" s="80"/>
      <c r="AI362" s="80"/>
      <c r="AJ362" s="80"/>
      <c r="AK362" s="80"/>
      <c r="AL362" s="80"/>
      <c r="AM362" s="80"/>
      <c r="AN362" s="80"/>
      <c r="AO362" s="80"/>
    </row>
    <row r="363" spans="1:41" x14ac:dyDescent="0.35">
      <c r="A363" s="47">
        <v>3</v>
      </c>
      <c r="B363" s="118">
        <v>46474</v>
      </c>
      <c r="C363" s="119">
        <v>0</v>
      </c>
      <c r="D363" s="119">
        <v>1.2647431499999999</v>
      </c>
      <c r="E363" s="119">
        <v>1.32176859</v>
      </c>
      <c r="F363" s="119">
        <v>0.44015641</v>
      </c>
      <c r="G363" s="119">
        <v>0.73091470000000003</v>
      </c>
      <c r="H363" s="119">
        <v>0.87126683000000005</v>
      </c>
      <c r="I363" s="119">
        <v>1.2259165299999999</v>
      </c>
      <c r="J363" s="119">
        <v>1.2709294099999999</v>
      </c>
      <c r="K363" s="119">
        <v>1.25317433</v>
      </c>
      <c r="L363" s="119">
        <v>1.2460734099999999</v>
      </c>
      <c r="M363" s="2"/>
      <c r="N363" s="2"/>
      <c r="O363" s="2"/>
      <c r="P363" s="2"/>
      <c r="Q363" s="2"/>
      <c r="R363" s="2"/>
      <c r="S363" s="2"/>
      <c r="V363" s="77"/>
      <c r="W363" s="77"/>
      <c r="X363" s="77"/>
      <c r="Y363" s="77"/>
      <c r="Z363" s="77"/>
      <c r="AA363" s="77"/>
      <c r="AB363" s="77"/>
      <c r="AC363" s="77"/>
      <c r="AD363" s="77"/>
      <c r="AF363" s="80"/>
      <c r="AG363" s="80"/>
      <c r="AH363" s="80"/>
      <c r="AI363" s="80"/>
      <c r="AJ363" s="80"/>
      <c r="AK363" s="80"/>
      <c r="AL363" s="80"/>
      <c r="AM363" s="80"/>
      <c r="AN363" s="80"/>
      <c r="AO363" s="80"/>
    </row>
    <row r="364" spans="1:41" x14ac:dyDescent="0.35">
      <c r="A364" s="47">
        <v>3</v>
      </c>
      <c r="B364" s="118">
        <v>46475</v>
      </c>
      <c r="C364" s="119">
        <v>1</v>
      </c>
      <c r="D364" s="119">
        <v>1.1942967200000001</v>
      </c>
      <c r="E364" s="119">
        <v>1.3428422900000001</v>
      </c>
      <c r="F364" s="119">
        <v>1.1682912400000001</v>
      </c>
      <c r="G364" s="119">
        <v>1.2244571900000001</v>
      </c>
      <c r="H364" s="119">
        <v>1.3714511599999999</v>
      </c>
      <c r="I364" s="119">
        <v>1.32042913</v>
      </c>
      <c r="J364" s="119">
        <v>1.3555605799999999</v>
      </c>
      <c r="K364" s="119">
        <v>1.4121777799999999</v>
      </c>
      <c r="L364" s="119">
        <v>1.39303092</v>
      </c>
      <c r="M364" s="2"/>
      <c r="N364" s="2"/>
      <c r="O364" s="2"/>
      <c r="P364" s="2"/>
      <c r="Q364" s="2"/>
      <c r="R364" s="2"/>
      <c r="S364" s="2"/>
      <c r="V364" s="77"/>
      <c r="W364" s="77"/>
      <c r="X364" s="77"/>
      <c r="Y364" s="77"/>
      <c r="Z364" s="77"/>
      <c r="AA364" s="77"/>
      <c r="AB364" s="77"/>
      <c r="AC364" s="77"/>
      <c r="AD364" s="77"/>
      <c r="AF364" s="80"/>
      <c r="AG364" s="80"/>
      <c r="AH364" s="80"/>
      <c r="AI364" s="80"/>
      <c r="AJ364" s="80"/>
      <c r="AK364" s="80"/>
      <c r="AL364" s="80"/>
      <c r="AM364" s="80"/>
      <c r="AN364" s="80"/>
      <c r="AO364" s="80"/>
    </row>
    <row r="365" spans="1:41" x14ac:dyDescent="0.35">
      <c r="A365" s="47">
        <v>3</v>
      </c>
      <c r="B365" s="118">
        <v>46476</v>
      </c>
      <c r="C365" s="119">
        <v>1</v>
      </c>
      <c r="D365" s="119">
        <v>1.1847989800000001</v>
      </c>
      <c r="E365" s="119">
        <v>1.32161536</v>
      </c>
      <c r="F365" s="119">
        <v>1.17005783</v>
      </c>
      <c r="G365" s="119">
        <v>1.22263564</v>
      </c>
      <c r="H365" s="119">
        <v>1.36630304</v>
      </c>
      <c r="I365" s="119">
        <v>1.30557528</v>
      </c>
      <c r="J365" s="119">
        <v>1.33590601</v>
      </c>
      <c r="K365" s="119">
        <v>1.3872892800000001</v>
      </c>
      <c r="L365" s="119">
        <v>1.3646149400000001</v>
      </c>
      <c r="M365" s="2"/>
      <c r="N365" s="2"/>
      <c r="O365" s="2"/>
      <c r="P365" s="2"/>
      <c r="Q365" s="2"/>
      <c r="R365" s="2"/>
      <c r="S365" s="2"/>
      <c r="V365" s="77"/>
      <c r="W365" s="77"/>
      <c r="X365" s="77"/>
      <c r="Y365" s="77"/>
      <c r="Z365" s="77"/>
      <c r="AA365" s="77"/>
      <c r="AB365" s="77"/>
      <c r="AC365" s="77"/>
      <c r="AD365" s="77"/>
      <c r="AF365" s="80"/>
      <c r="AG365" s="80"/>
      <c r="AH365" s="80"/>
      <c r="AI365" s="80"/>
      <c r="AJ365" s="80"/>
      <c r="AK365" s="80"/>
      <c r="AL365" s="80"/>
      <c r="AM365" s="80"/>
      <c r="AN365" s="80"/>
      <c r="AO365" s="80"/>
    </row>
    <row r="366" spans="1:41" x14ac:dyDescent="0.35">
      <c r="A366" s="47">
        <v>3</v>
      </c>
      <c r="B366" s="118">
        <v>46477</v>
      </c>
      <c r="C366" s="119">
        <v>1</v>
      </c>
      <c r="D366" s="119">
        <v>1.1746982500000001</v>
      </c>
      <c r="E366" s="119">
        <v>1.2987045500000001</v>
      </c>
      <c r="F366" s="119">
        <v>1.1718244200000001</v>
      </c>
      <c r="G366" s="119">
        <v>1.2208140999999999</v>
      </c>
      <c r="H366" s="119">
        <v>1.3610147500000001</v>
      </c>
      <c r="I366" s="119">
        <v>1.28962781</v>
      </c>
      <c r="J366" s="119">
        <v>1.3147219299999999</v>
      </c>
      <c r="K366" s="119">
        <v>1.3603881200000001</v>
      </c>
      <c r="L366" s="119">
        <v>1.33385551</v>
      </c>
      <c r="M366" s="31"/>
      <c r="N366" s="31"/>
      <c r="O366" s="31"/>
      <c r="P366" s="31"/>
      <c r="Q366" s="31"/>
      <c r="R366" s="31"/>
      <c r="S366" s="31"/>
      <c r="V366" s="77"/>
      <c r="W366" s="77"/>
      <c r="X366" s="77"/>
      <c r="Y366" s="77"/>
      <c r="Z366" s="77"/>
      <c r="AA366" s="77"/>
      <c r="AB366" s="77"/>
      <c r="AC366" s="77"/>
      <c r="AD366" s="77"/>
      <c r="AF366" s="80"/>
      <c r="AG366" s="80"/>
      <c r="AH366" s="80"/>
      <c r="AI366" s="80"/>
      <c r="AJ366" s="80"/>
      <c r="AK366" s="80"/>
      <c r="AL366" s="80"/>
      <c r="AM366" s="80"/>
      <c r="AN366" s="80"/>
      <c r="AO366" s="80"/>
    </row>
    <row r="367" spans="1:41" x14ac:dyDescent="0.35">
      <c r="V367" s="77"/>
      <c r="W367" s="77"/>
      <c r="X367" s="77"/>
      <c r="Y367" s="77"/>
      <c r="Z367" s="77"/>
      <c r="AA367" s="77"/>
      <c r="AB367" s="77"/>
      <c r="AC367" s="77"/>
      <c r="AD367" s="77"/>
      <c r="AF367" s="79"/>
      <c r="AG367" s="2"/>
      <c r="AH367" s="2"/>
      <c r="AI367" s="2"/>
      <c r="AJ367" s="2"/>
      <c r="AK367" s="2"/>
      <c r="AL367" s="2"/>
      <c r="AM367" s="2"/>
      <c r="AN367" s="2"/>
      <c r="AO367" s="2"/>
    </row>
    <row r="368" spans="1:41" x14ac:dyDescent="0.35">
      <c r="D368" s="72"/>
      <c r="E368" s="72"/>
      <c r="F368" s="72"/>
      <c r="G368" s="72"/>
      <c r="H368" s="72"/>
      <c r="I368" s="72"/>
      <c r="J368" s="72"/>
      <c r="K368" s="72"/>
      <c r="L368" s="72"/>
      <c r="V368" s="77"/>
      <c r="W368" s="77"/>
      <c r="X368" s="77"/>
      <c r="Y368" s="77"/>
      <c r="Z368" s="77"/>
      <c r="AA368" s="77"/>
      <c r="AB368" s="77"/>
      <c r="AC368" s="77"/>
      <c r="AD368" s="77"/>
      <c r="AF368" s="79"/>
      <c r="AG368" s="2"/>
      <c r="AH368" s="2"/>
      <c r="AI368" s="2"/>
      <c r="AJ368" s="2"/>
      <c r="AK368" s="2"/>
      <c r="AL368" s="2"/>
      <c r="AM368" s="2"/>
      <c r="AN368" s="2"/>
      <c r="AO368" s="2"/>
    </row>
    <row r="369" spans="22:41" x14ac:dyDescent="0.35">
      <c r="V369" s="77"/>
      <c r="W369" s="77"/>
      <c r="X369" s="77"/>
      <c r="Y369" s="77"/>
      <c r="Z369" s="77"/>
      <c r="AA369" s="77"/>
      <c r="AB369" s="77"/>
      <c r="AC369" s="77"/>
      <c r="AD369" s="77"/>
      <c r="AF369" s="79"/>
      <c r="AG369" s="2"/>
      <c r="AH369" s="2"/>
      <c r="AI369" s="2"/>
      <c r="AJ369" s="2"/>
      <c r="AK369" s="2"/>
      <c r="AL369" s="2"/>
      <c r="AM369" s="2"/>
      <c r="AN369" s="2"/>
      <c r="AO369" s="2"/>
    </row>
    <row r="370" spans="22:41" x14ac:dyDescent="0.35">
      <c r="V370" s="77"/>
      <c r="W370" s="77"/>
      <c r="X370" s="77"/>
      <c r="Y370" s="77"/>
      <c r="Z370" s="77"/>
      <c r="AA370" s="77"/>
      <c r="AB370" s="77"/>
      <c r="AC370" s="77"/>
      <c r="AD370" s="77"/>
      <c r="AF370" s="79"/>
      <c r="AG370" s="2"/>
      <c r="AH370" s="2"/>
      <c r="AI370" s="2"/>
      <c r="AJ370" s="2"/>
      <c r="AK370" s="2"/>
      <c r="AL370" s="2"/>
      <c r="AM370" s="2"/>
      <c r="AN370" s="2"/>
      <c r="AO370" s="2"/>
    </row>
    <row r="371" spans="22:41" x14ac:dyDescent="0.35">
      <c r="V371" s="77"/>
      <c r="W371" s="77"/>
      <c r="X371" s="77"/>
      <c r="Y371" s="77"/>
      <c r="Z371" s="77"/>
      <c r="AA371" s="77"/>
      <c r="AB371" s="77"/>
      <c r="AC371" s="77"/>
      <c r="AD371" s="77"/>
      <c r="AF371" s="79"/>
      <c r="AG371" s="2"/>
      <c r="AH371" s="2"/>
      <c r="AI371" s="2"/>
      <c r="AJ371" s="2"/>
      <c r="AK371" s="2"/>
      <c r="AL371" s="2"/>
      <c r="AM371" s="2"/>
      <c r="AN371" s="2"/>
      <c r="AO371" s="2"/>
    </row>
    <row r="372" spans="22:41" x14ac:dyDescent="0.35">
      <c r="V372" s="77"/>
      <c r="W372" s="77"/>
      <c r="X372" s="77"/>
      <c r="Y372" s="77"/>
      <c r="Z372" s="77"/>
      <c r="AA372" s="77"/>
      <c r="AB372" s="77"/>
      <c r="AC372" s="77"/>
      <c r="AD372" s="77"/>
      <c r="AF372" s="79"/>
      <c r="AG372" s="2"/>
      <c r="AH372" s="2"/>
      <c r="AI372" s="2"/>
      <c r="AJ372" s="2"/>
      <c r="AK372" s="2"/>
      <c r="AL372" s="2"/>
      <c r="AM372" s="2"/>
      <c r="AN372" s="2"/>
      <c r="AO372" s="2"/>
    </row>
    <row r="373" spans="22:41" x14ac:dyDescent="0.35">
      <c r="V373" s="77"/>
      <c r="W373" s="77"/>
      <c r="X373" s="77"/>
      <c r="Y373" s="77"/>
      <c r="Z373" s="77"/>
      <c r="AA373" s="77"/>
      <c r="AB373" s="77"/>
      <c r="AC373" s="77"/>
      <c r="AD373" s="77"/>
      <c r="AF373" s="79"/>
      <c r="AG373" s="2"/>
      <c r="AH373" s="2"/>
      <c r="AI373" s="2"/>
      <c r="AJ373" s="2"/>
      <c r="AK373" s="2"/>
      <c r="AL373" s="2"/>
      <c r="AM373" s="2"/>
      <c r="AN373" s="2"/>
      <c r="AO373" s="2"/>
    </row>
    <row r="374" spans="22:41" x14ac:dyDescent="0.35">
      <c r="V374" s="77"/>
      <c r="W374" s="77"/>
      <c r="X374" s="77"/>
      <c r="Y374" s="77"/>
      <c r="Z374" s="77"/>
      <c r="AA374" s="77"/>
      <c r="AB374" s="77"/>
      <c r="AC374" s="77"/>
      <c r="AD374" s="77"/>
      <c r="AF374" s="79"/>
      <c r="AG374" s="2"/>
      <c r="AH374" s="2"/>
      <c r="AI374" s="2"/>
      <c r="AJ374" s="2"/>
      <c r="AK374" s="2"/>
      <c r="AL374" s="2"/>
      <c r="AM374" s="2"/>
      <c r="AN374" s="2"/>
      <c r="AO374" s="2"/>
    </row>
    <row r="375" spans="22:41" x14ac:dyDescent="0.35">
      <c r="V375" s="77"/>
      <c r="W375" s="77"/>
      <c r="X375" s="77"/>
      <c r="Y375" s="77"/>
      <c r="Z375" s="77"/>
      <c r="AA375" s="77"/>
      <c r="AB375" s="77"/>
      <c r="AC375" s="77"/>
      <c r="AD375" s="77"/>
      <c r="AF375" s="79"/>
      <c r="AG375" s="2"/>
      <c r="AH375" s="2"/>
      <c r="AI375" s="2"/>
      <c r="AJ375" s="2"/>
      <c r="AK375" s="2"/>
      <c r="AL375" s="2"/>
      <c r="AM375" s="2"/>
      <c r="AN375" s="2"/>
      <c r="AO375" s="2"/>
    </row>
    <row r="376" spans="22:41" x14ac:dyDescent="0.35">
      <c r="V376" s="77"/>
      <c r="W376" s="77"/>
      <c r="X376" s="77"/>
      <c r="Y376" s="77"/>
      <c r="Z376" s="77"/>
      <c r="AA376" s="77"/>
      <c r="AB376" s="77"/>
      <c r="AC376" s="77"/>
      <c r="AD376" s="77"/>
      <c r="AF376" s="79"/>
      <c r="AG376" s="2"/>
      <c r="AH376" s="2"/>
      <c r="AI376" s="2"/>
      <c r="AJ376" s="2"/>
      <c r="AK376" s="2"/>
      <c r="AL376" s="2"/>
      <c r="AM376" s="2"/>
      <c r="AN376" s="2"/>
      <c r="AO376" s="2"/>
    </row>
    <row r="377" spans="22:41" x14ac:dyDescent="0.35">
      <c r="V377" s="77"/>
      <c r="W377" s="77"/>
      <c r="X377" s="77"/>
      <c r="Y377" s="77"/>
      <c r="Z377" s="77"/>
      <c r="AA377" s="77"/>
      <c r="AB377" s="77"/>
      <c r="AC377" s="77"/>
      <c r="AD377" s="77"/>
      <c r="AF377" s="79"/>
      <c r="AG377" s="2"/>
      <c r="AH377" s="2"/>
      <c r="AI377" s="2"/>
      <c r="AJ377" s="2"/>
      <c r="AK377" s="2"/>
      <c r="AL377" s="2"/>
      <c r="AM377" s="2"/>
      <c r="AN377" s="2"/>
      <c r="AO377" s="2"/>
    </row>
    <row r="378" spans="22:41" x14ac:dyDescent="0.35">
      <c r="V378" s="77"/>
      <c r="W378" s="77"/>
      <c r="X378" s="77"/>
      <c r="Y378" s="77"/>
      <c r="Z378" s="77"/>
      <c r="AA378" s="77"/>
      <c r="AB378" s="77"/>
      <c r="AC378" s="77"/>
      <c r="AD378" s="77"/>
      <c r="AF378" s="79"/>
      <c r="AG378" s="2"/>
      <c r="AH378" s="2"/>
      <c r="AI378" s="2"/>
      <c r="AJ378" s="2"/>
      <c r="AK378" s="2"/>
      <c r="AL378" s="2"/>
      <c r="AM378" s="2"/>
      <c r="AN378" s="2"/>
      <c r="AO378" s="2"/>
    </row>
    <row r="379" spans="22:41" x14ac:dyDescent="0.35">
      <c r="V379" s="77"/>
      <c r="W379" s="77"/>
      <c r="X379" s="77"/>
      <c r="Y379" s="77"/>
      <c r="Z379" s="77"/>
      <c r="AA379" s="77"/>
      <c r="AB379" s="77"/>
      <c r="AC379" s="77"/>
      <c r="AD379" s="77"/>
      <c r="AF379" s="79"/>
      <c r="AG379" s="2"/>
      <c r="AH379" s="2"/>
      <c r="AI379" s="2"/>
      <c r="AJ379" s="2"/>
      <c r="AK379" s="2"/>
      <c r="AL379" s="2"/>
      <c r="AM379" s="2"/>
      <c r="AN379" s="2"/>
      <c r="AO379" s="2"/>
    </row>
    <row r="380" spans="22:41" x14ac:dyDescent="0.35">
      <c r="V380" s="77"/>
      <c r="W380" s="77"/>
      <c r="X380" s="77"/>
      <c r="Y380" s="77"/>
      <c r="Z380" s="77"/>
      <c r="AA380" s="77"/>
      <c r="AB380" s="77"/>
      <c r="AC380" s="77"/>
      <c r="AD380" s="77"/>
      <c r="AF380" s="79"/>
      <c r="AG380" s="2"/>
      <c r="AH380" s="2"/>
      <c r="AI380" s="2"/>
      <c r="AJ380" s="2"/>
      <c r="AK380" s="2"/>
      <c r="AL380" s="2"/>
      <c r="AM380" s="2"/>
      <c r="AN380" s="2"/>
      <c r="AO380" s="2"/>
    </row>
    <row r="381" spans="22:41" x14ac:dyDescent="0.35">
      <c r="V381" s="77"/>
      <c r="W381" s="77"/>
      <c r="X381" s="77"/>
      <c r="Y381" s="77"/>
      <c r="Z381" s="77"/>
      <c r="AA381" s="77"/>
      <c r="AB381" s="77"/>
      <c r="AC381" s="77"/>
      <c r="AD381" s="77"/>
      <c r="AF381" s="79"/>
      <c r="AG381" s="2"/>
      <c r="AH381" s="2"/>
      <c r="AI381" s="2"/>
      <c r="AJ381" s="2"/>
      <c r="AK381" s="2"/>
      <c r="AL381" s="2"/>
      <c r="AM381" s="2"/>
      <c r="AN381" s="2"/>
      <c r="AO381" s="2"/>
    </row>
    <row r="382" spans="22:41" x14ac:dyDescent="0.35">
      <c r="V382" s="77"/>
      <c r="W382" s="77"/>
      <c r="X382" s="77"/>
      <c r="Y382" s="77"/>
      <c r="Z382" s="77"/>
      <c r="AA382" s="77"/>
      <c r="AB382" s="77"/>
      <c r="AC382" s="77"/>
      <c r="AD382" s="77"/>
      <c r="AF382" s="79"/>
      <c r="AG382" s="2"/>
      <c r="AH382" s="2"/>
      <c r="AI382" s="2"/>
      <c r="AJ382" s="2"/>
      <c r="AK382" s="2"/>
      <c r="AL382" s="2"/>
      <c r="AM382" s="2"/>
      <c r="AN382" s="2"/>
      <c r="AO382" s="2"/>
    </row>
    <row r="383" spans="22:41" x14ac:dyDescent="0.35">
      <c r="V383" s="77"/>
      <c r="W383" s="77"/>
      <c r="X383" s="77"/>
      <c r="Y383" s="77"/>
      <c r="Z383" s="77"/>
      <c r="AA383" s="77"/>
      <c r="AB383" s="77"/>
      <c r="AC383" s="77"/>
      <c r="AD383" s="77"/>
      <c r="AF383" s="79"/>
      <c r="AG383" s="2"/>
      <c r="AH383" s="2"/>
      <c r="AI383" s="2"/>
      <c r="AJ383" s="2"/>
      <c r="AK383" s="2"/>
      <c r="AL383" s="2"/>
      <c r="AM383" s="2"/>
      <c r="AN383" s="2"/>
      <c r="AO383" s="2"/>
    </row>
    <row r="384" spans="22:41" x14ac:dyDescent="0.35">
      <c r="V384" s="77"/>
      <c r="W384" s="77"/>
      <c r="X384" s="77"/>
      <c r="Y384" s="77"/>
      <c r="Z384" s="77"/>
      <c r="AA384" s="77"/>
      <c r="AB384" s="77"/>
      <c r="AC384" s="77"/>
      <c r="AD384" s="77"/>
      <c r="AF384" s="79"/>
      <c r="AG384" s="2"/>
      <c r="AH384" s="2"/>
      <c r="AI384" s="2"/>
      <c r="AJ384" s="2"/>
      <c r="AK384" s="2"/>
      <c r="AL384" s="2"/>
      <c r="AM384" s="2"/>
      <c r="AN384" s="2"/>
      <c r="AO384" s="2"/>
    </row>
    <row r="385" spans="22:41" x14ac:dyDescent="0.35">
      <c r="V385" s="77"/>
      <c r="W385" s="77"/>
      <c r="X385" s="77"/>
      <c r="Y385" s="77"/>
      <c r="Z385" s="77"/>
      <c r="AA385" s="77"/>
      <c r="AB385" s="77"/>
      <c r="AC385" s="77"/>
      <c r="AD385" s="77"/>
      <c r="AF385" s="79"/>
      <c r="AG385" s="2"/>
      <c r="AH385" s="2"/>
      <c r="AI385" s="2"/>
      <c r="AJ385" s="2"/>
      <c r="AK385" s="2"/>
      <c r="AL385" s="2"/>
      <c r="AM385" s="2"/>
      <c r="AN385" s="2"/>
      <c r="AO385" s="2"/>
    </row>
    <row r="386" spans="22:41" x14ac:dyDescent="0.35">
      <c r="V386" s="77"/>
      <c r="W386" s="77"/>
      <c r="X386" s="77"/>
      <c r="Y386" s="77"/>
      <c r="Z386" s="77"/>
      <c r="AA386" s="77"/>
      <c r="AB386" s="77"/>
      <c r="AC386" s="77"/>
      <c r="AD386" s="77"/>
      <c r="AF386" s="79"/>
      <c r="AG386" s="2"/>
      <c r="AH386" s="2"/>
      <c r="AI386" s="2"/>
      <c r="AJ386" s="2"/>
      <c r="AK386" s="2"/>
      <c r="AL386" s="2"/>
      <c r="AM386" s="2"/>
      <c r="AN386" s="2"/>
      <c r="AO386" s="2"/>
    </row>
    <row r="387" spans="22:41" x14ac:dyDescent="0.35">
      <c r="V387" s="77"/>
      <c r="W387" s="77"/>
      <c r="X387" s="77"/>
      <c r="Y387" s="77"/>
      <c r="Z387" s="77"/>
      <c r="AA387" s="77"/>
      <c r="AB387" s="77"/>
      <c r="AC387" s="77"/>
      <c r="AD387" s="77"/>
      <c r="AF387" s="79"/>
      <c r="AG387" s="2"/>
      <c r="AH387" s="2"/>
      <c r="AI387" s="2"/>
      <c r="AJ387" s="2"/>
      <c r="AK387" s="2"/>
      <c r="AL387" s="2"/>
      <c r="AM387" s="2"/>
      <c r="AN387" s="2"/>
      <c r="AO387" s="2"/>
    </row>
    <row r="388" spans="22:41" x14ac:dyDescent="0.35">
      <c r="V388" s="77"/>
      <c r="W388" s="77"/>
      <c r="X388" s="77"/>
      <c r="Y388" s="77"/>
      <c r="Z388" s="77"/>
      <c r="AA388" s="77"/>
      <c r="AB388" s="77"/>
      <c r="AC388" s="77"/>
      <c r="AD388" s="77"/>
      <c r="AF388" s="79"/>
      <c r="AG388" s="2"/>
      <c r="AH388" s="2"/>
      <c r="AI388" s="2"/>
      <c r="AJ388" s="2"/>
      <c r="AK388" s="2"/>
      <c r="AL388" s="2"/>
      <c r="AM388" s="2"/>
      <c r="AN388" s="2"/>
      <c r="AO388" s="2"/>
    </row>
    <row r="389" spans="22:41" x14ac:dyDescent="0.35">
      <c r="V389" s="77"/>
      <c r="W389" s="77"/>
      <c r="X389" s="77"/>
      <c r="Y389" s="77"/>
      <c r="Z389" s="77"/>
      <c r="AA389" s="77"/>
      <c r="AB389" s="77"/>
      <c r="AC389" s="77"/>
      <c r="AD389" s="77"/>
      <c r="AF389" s="79"/>
      <c r="AG389" s="2"/>
      <c r="AH389" s="2"/>
      <c r="AI389" s="2"/>
      <c r="AJ389" s="2"/>
      <c r="AK389" s="2"/>
      <c r="AL389" s="2"/>
      <c r="AM389" s="2"/>
      <c r="AN389" s="2"/>
      <c r="AO389" s="2"/>
    </row>
    <row r="390" spans="22:41" x14ac:dyDescent="0.35">
      <c r="V390" s="77"/>
      <c r="W390" s="77"/>
      <c r="X390" s="77"/>
      <c r="Y390" s="77"/>
      <c r="Z390" s="77"/>
      <c r="AA390" s="77"/>
      <c r="AB390" s="77"/>
      <c r="AC390" s="77"/>
      <c r="AD390" s="77"/>
      <c r="AF390" s="79"/>
      <c r="AG390" s="2"/>
      <c r="AH390" s="2"/>
      <c r="AI390" s="2"/>
      <c r="AJ390" s="2"/>
      <c r="AK390" s="2"/>
      <c r="AL390" s="2"/>
      <c r="AM390" s="2"/>
      <c r="AN390" s="2"/>
      <c r="AO390" s="2"/>
    </row>
    <row r="391" spans="22:41" x14ac:dyDescent="0.35">
      <c r="V391" s="77"/>
      <c r="W391" s="77"/>
      <c r="X391" s="77"/>
      <c r="Y391" s="77"/>
      <c r="Z391" s="77"/>
      <c r="AA391" s="77"/>
      <c r="AB391" s="77"/>
      <c r="AC391" s="77"/>
      <c r="AD391" s="77"/>
      <c r="AF391" s="79"/>
      <c r="AG391" s="2"/>
      <c r="AH391" s="2"/>
      <c r="AI391" s="2"/>
      <c r="AJ391" s="2"/>
      <c r="AK391" s="2"/>
      <c r="AL391" s="2"/>
      <c r="AM391" s="2"/>
      <c r="AN391" s="2"/>
      <c r="AO391" s="2"/>
    </row>
    <row r="392" spans="22:41" x14ac:dyDescent="0.35">
      <c r="V392" s="77"/>
      <c r="W392" s="77"/>
      <c r="X392" s="77"/>
      <c r="Y392" s="77"/>
      <c r="Z392" s="77"/>
      <c r="AA392" s="77"/>
      <c r="AB392" s="77"/>
      <c r="AC392" s="77"/>
      <c r="AD392" s="77"/>
      <c r="AF392" s="79"/>
      <c r="AG392" s="2"/>
      <c r="AH392" s="2"/>
      <c r="AI392" s="2"/>
      <c r="AJ392" s="2"/>
      <c r="AK392" s="2"/>
      <c r="AL392" s="2"/>
      <c r="AM392" s="2"/>
      <c r="AN392" s="2"/>
      <c r="AO392" s="2"/>
    </row>
    <row r="393" spans="22:41" x14ac:dyDescent="0.35">
      <c r="V393" s="77"/>
      <c r="W393" s="77"/>
      <c r="X393" s="77"/>
      <c r="Y393" s="77"/>
      <c r="Z393" s="77"/>
      <c r="AA393" s="77"/>
      <c r="AB393" s="77"/>
      <c r="AC393" s="77"/>
      <c r="AD393" s="77"/>
      <c r="AF393" s="79"/>
      <c r="AG393" s="2"/>
      <c r="AH393" s="2"/>
      <c r="AI393" s="2"/>
      <c r="AJ393" s="2"/>
      <c r="AK393" s="2"/>
      <c r="AL393" s="2"/>
      <c r="AM393" s="2"/>
      <c r="AN393" s="2"/>
      <c r="AO393" s="2"/>
    </row>
    <row r="394" spans="22:41" x14ac:dyDescent="0.35">
      <c r="V394" s="77"/>
      <c r="W394" s="77"/>
      <c r="X394" s="77"/>
      <c r="Y394" s="77"/>
      <c r="Z394" s="77"/>
      <c r="AA394" s="77"/>
      <c r="AB394" s="77"/>
      <c r="AC394" s="77"/>
      <c r="AD394" s="77"/>
      <c r="AF394" s="79"/>
      <c r="AG394" s="2"/>
      <c r="AH394" s="2"/>
      <c r="AI394" s="2"/>
      <c r="AJ394" s="2"/>
      <c r="AK394" s="2"/>
      <c r="AL394" s="2"/>
      <c r="AM394" s="2"/>
      <c r="AN394" s="2"/>
      <c r="AO394" s="2"/>
    </row>
    <row r="395" spans="22:41" x14ac:dyDescent="0.35">
      <c r="V395" s="77"/>
      <c r="W395" s="77"/>
      <c r="X395" s="77"/>
      <c r="Y395" s="77"/>
      <c r="Z395" s="77"/>
      <c r="AA395" s="77"/>
      <c r="AB395" s="77"/>
      <c r="AC395" s="77"/>
      <c r="AD395" s="77"/>
      <c r="AF395" s="79"/>
      <c r="AG395" s="2"/>
      <c r="AH395" s="2"/>
      <c r="AI395" s="2"/>
      <c r="AJ395" s="2"/>
      <c r="AK395" s="2"/>
      <c r="AL395" s="2"/>
      <c r="AM395" s="2"/>
      <c r="AN395" s="2"/>
      <c r="AO395" s="2"/>
    </row>
    <row r="396" spans="22:41" x14ac:dyDescent="0.35">
      <c r="V396" s="77"/>
      <c r="W396" s="77"/>
      <c r="X396" s="77"/>
      <c r="Y396" s="77"/>
      <c r="Z396" s="77"/>
      <c r="AA396" s="77"/>
      <c r="AB396" s="77"/>
      <c r="AC396" s="77"/>
      <c r="AD396" s="77"/>
      <c r="AF396" s="79"/>
      <c r="AG396" s="2"/>
      <c r="AH396" s="2"/>
      <c r="AI396" s="2"/>
      <c r="AJ396" s="2"/>
      <c r="AK396" s="2"/>
      <c r="AL396" s="2"/>
      <c r="AM396" s="2"/>
      <c r="AN396" s="2"/>
      <c r="AO396" s="2"/>
    </row>
    <row r="397" spans="22:41" x14ac:dyDescent="0.35">
      <c r="V397" s="77"/>
      <c r="W397" s="77"/>
      <c r="X397" s="77"/>
      <c r="Y397" s="77"/>
      <c r="Z397" s="77"/>
      <c r="AA397" s="77"/>
      <c r="AB397" s="77"/>
      <c r="AC397" s="77"/>
      <c r="AD397" s="77"/>
      <c r="AF397" s="79"/>
      <c r="AG397" s="2"/>
      <c r="AH397" s="2"/>
      <c r="AI397" s="2"/>
      <c r="AJ397" s="2"/>
      <c r="AK397" s="2"/>
      <c r="AL397" s="2"/>
      <c r="AM397" s="2"/>
      <c r="AN397" s="2"/>
      <c r="AO397" s="2"/>
    </row>
    <row r="398" spans="22:41" x14ac:dyDescent="0.35">
      <c r="V398" s="77"/>
      <c r="W398" s="77"/>
      <c r="X398" s="77"/>
      <c r="Y398" s="77"/>
      <c r="Z398" s="77"/>
      <c r="AA398" s="77"/>
      <c r="AB398" s="77"/>
      <c r="AC398" s="77"/>
      <c r="AD398" s="77"/>
      <c r="AF398" s="79"/>
      <c r="AG398" s="2"/>
      <c r="AH398" s="2"/>
      <c r="AI398" s="2"/>
      <c r="AJ398" s="2"/>
      <c r="AK398" s="2"/>
      <c r="AL398" s="2"/>
      <c r="AM398" s="2"/>
      <c r="AN398" s="2"/>
      <c r="AO398" s="2"/>
    </row>
    <row r="399" spans="22:41" x14ac:dyDescent="0.35">
      <c r="V399" s="77"/>
      <c r="W399" s="77"/>
      <c r="X399" s="77"/>
      <c r="Y399" s="77"/>
      <c r="Z399" s="77"/>
      <c r="AA399" s="77"/>
      <c r="AB399" s="77"/>
      <c r="AC399" s="77"/>
      <c r="AD399" s="77"/>
      <c r="AF399" s="79"/>
      <c r="AG399" s="2"/>
      <c r="AH399" s="2"/>
      <c r="AI399" s="2"/>
      <c r="AJ399" s="2"/>
      <c r="AK399" s="2"/>
      <c r="AL399" s="2"/>
      <c r="AM399" s="2"/>
      <c r="AN399" s="2"/>
      <c r="AO399" s="2"/>
    </row>
    <row r="400" spans="22:41" x14ac:dyDescent="0.35">
      <c r="V400" s="77"/>
      <c r="W400" s="77"/>
      <c r="X400" s="77"/>
      <c r="Y400" s="77"/>
      <c r="Z400" s="77"/>
      <c r="AA400" s="77"/>
      <c r="AB400" s="77"/>
      <c r="AC400" s="77"/>
      <c r="AD400" s="77"/>
      <c r="AF400" s="79"/>
      <c r="AG400" s="2"/>
      <c r="AH400" s="2"/>
      <c r="AI400" s="2"/>
      <c r="AJ400" s="2"/>
      <c r="AK400" s="2"/>
      <c r="AL400" s="2"/>
      <c r="AM400" s="2"/>
      <c r="AN400" s="2"/>
      <c r="AO400" s="2"/>
    </row>
    <row r="401" spans="22:41" x14ac:dyDescent="0.35">
      <c r="V401" s="77"/>
      <c r="W401" s="77"/>
      <c r="X401" s="77"/>
      <c r="Y401" s="77"/>
      <c r="Z401" s="77"/>
      <c r="AA401" s="77"/>
      <c r="AB401" s="77"/>
      <c r="AC401" s="77"/>
      <c r="AD401" s="77"/>
      <c r="AF401" s="79"/>
      <c r="AG401" s="2"/>
      <c r="AH401" s="2"/>
      <c r="AI401" s="2"/>
      <c r="AJ401" s="2"/>
      <c r="AK401" s="2"/>
      <c r="AL401" s="2"/>
      <c r="AM401" s="2"/>
      <c r="AN401" s="2"/>
      <c r="AO401" s="2"/>
    </row>
    <row r="402" spans="22:41" x14ac:dyDescent="0.35">
      <c r="V402" s="77"/>
      <c r="W402" s="77"/>
      <c r="X402" s="77"/>
      <c r="Y402" s="77"/>
      <c r="Z402" s="77"/>
      <c r="AA402" s="77"/>
      <c r="AB402" s="77"/>
      <c r="AC402" s="77"/>
      <c r="AD402" s="77"/>
      <c r="AF402" s="79"/>
      <c r="AG402" s="2"/>
      <c r="AH402" s="2"/>
      <c r="AI402" s="2"/>
      <c r="AJ402" s="2"/>
      <c r="AK402" s="2"/>
      <c r="AL402" s="2"/>
      <c r="AM402" s="2"/>
      <c r="AN402" s="2"/>
      <c r="AO402" s="2"/>
    </row>
    <row r="403" spans="22:41" x14ac:dyDescent="0.35">
      <c r="V403" s="77"/>
      <c r="W403" s="77"/>
      <c r="X403" s="77"/>
      <c r="Y403" s="77"/>
      <c r="Z403" s="77"/>
      <c r="AA403" s="77"/>
      <c r="AB403" s="77"/>
      <c r="AC403" s="77"/>
      <c r="AD403" s="77"/>
      <c r="AF403" s="79"/>
      <c r="AG403" s="2"/>
      <c r="AH403" s="2"/>
      <c r="AI403" s="2"/>
      <c r="AJ403" s="2"/>
      <c r="AK403" s="2"/>
      <c r="AL403" s="2"/>
      <c r="AM403" s="2"/>
      <c r="AN403" s="2"/>
      <c r="AO403" s="2"/>
    </row>
    <row r="404" spans="22:41" x14ac:dyDescent="0.35">
      <c r="V404" s="77"/>
      <c r="W404" s="77"/>
      <c r="X404" s="77"/>
      <c r="Y404" s="77"/>
      <c r="Z404" s="77"/>
      <c r="AA404" s="77"/>
      <c r="AB404" s="77"/>
      <c r="AC404" s="77"/>
      <c r="AD404" s="77"/>
      <c r="AF404" s="79"/>
      <c r="AG404" s="2"/>
      <c r="AH404" s="2"/>
      <c r="AI404" s="2"/>
      <c r="AJ404" s="2"/>
      <c r="AK404" s="2"/>
      <c r="AL404" s="2"/>
      <c r="AM404" s="2"/>
      <c r="AN404" s="2"/>
      <c r="AO404" s="2"/>
    </row>
    <row r="405" spans="22:41" x14ac:dyDescent="0.35">
      <c r="V405" s="77"/>
      <c r="W405" s="77"/>
      <c r="X405" s="77"/>
      <c r="Y405" s="77"/>
      <c r="Z405" s="77"/>
      <c r="AA405" s="77"/>
      <c r="AB405" s="77"/>
      <c r="AC405" s="77"/>
      <c r="AD405" s="77"/>
      <c r="AF405" s="79"/>
      <c r="AG405" s="2"/>
      <c r="AH405" s="2"/>
      <c r="AI405" s="2"/>
      <c r="AJ405" s="2"/>
      <c r="AK405" s="2"/>
      <c r="AL405" s="2"/>
      <c r="AM405" s="2"/>
      <c r="AN405" s="2"/>
      <c r="AO405" s="2"/>
    </row>
    <row r="406" spans="22:41" x14ac:dyDescent="0.35">
      <c r="V406" s="77"/>
      <c r="W406" s="77"/>
      <c r="X406" s="77"/>
      <c r="Y406" s="77"/>
      <c r="Z406" s="77"/>
      <c r="AA406" s="77"/>
      <c r="AB406" s="77"/>
      <c r="AC406" s="77"/>
      <c r="AD406" s="77"/>
      <c r="AF406" s="79"/>
      <c r="AG406" s="2"/>
      <c r="AH406" s="2"/>
      <c r="AI406" s="2"/>
      <c r="AJ406" s="2"/>
      <c r="AK406" s="2"/>
      <c r="AL406" s="2"/>
      <c r="AM406" s="2"/>
      <c r="AN406" s="2"/>
      <c r="AO406" s="2"/>
    </row>
    <row r="407" spans="22:41" x14ac:dyDescent="0.35">
      <c r="V407" s="77"/>
      <c r="W407" s="77"/>
      <c r="X407" s="77"/>
      <c r="Y407" s="77"/>
      <c r="Z407" s="77"/>
      <c r="AA407" s="77"/>
      <c r="AB407" s="77"/>
      <c r="AC407" s="77"/>
      <c r="AD407" s="77"/>
      <c r="AF407" s="79"/>
      <c r="AG407" s="2"/>
      <c r="AH407" s="2"/>
      <c r="AI407" s="2"/>
      <c r="AJ407" s="2"/>
      <c r="AK407" s="2"/>
      <c r="AL407" s="2"/>
      <c r="AM407" s="2"/>
      <c r="AN407" s="2"/>
      <c r="AO407" s="2"/>
    </row>
    <row r="408" spans="22:41" x14ac:dyDescent="0.35">
      <c r="V408" s="77"/>
      <c r="W408" s="77"/>
      <c r="X408" s="77"/>
      <c r="Y408" s="77"/>
      <c r="Z408" s="77"/>
      <c r="AA408" s="77"/>
      <c r="AB408" s="77"/>
      <c r="AC408" s="77"/>
      <c r="AD408" s="77"/>
      <c r="AF408" s="79"/>
      <c r="AG408" s="2"/>
      <c r="AH408" s="2"/>
      <c r="AI408" s="2"/>
      <c r="AJ408" s="2"/>
      <c r="AK408" s="2"/>
      <c r="AL408" s="2"/>
      <c r="AM408" s="2"/>
      <c r="AN408" s="2"/>
      <c r="AO408" s="2"/>
    </row>
    <row r="409" spans="22:41" x14ac:dyDescent="0.35">
      <c r="V409" s="77"/>
      <c r="W409" s="77"/>
      <c r="X409" s="77"/>
      <c r="Y409" s="77"/>
      <c r="Z409" s="77"/>
      <c r="AA409" s="77"/>
      <c r="AB409" s="77"/>
      <c r="AC409" s="77"/>
      <c r="AD409" s="77"/>
      <c r="AF409" s="79"/>
      <c r="AG409" s="2"/>
      <c r="AH409" s="2"/>
      <c r="AI409" s="2"/>
      <c r="AJ409" s="2"/>
      <c r="AK409" s="2"/>
      <c r="AL409" s="2"/>
      <c r="AM409" s="2"/>
      <c r="AN409" s="2"/>
      <c r="AO409" s="2"/>
    </row>
    <row r="410" spans="22:41" x14ac:dyDescent="0.35">
      <c r="V410" s="77"/>
      <c r="W410" s="77"/>
      <c r="X410" s="77"/>
      <c r="Y410" s="77"/>
      <c r="Z410" s="77"/>
      <c r="AA410" s="77"/>
      <c r="AB410" s="77"/>
      <c r="AC410" s="77"/>
      <c r="AD410" s="77"/>
      <c r="AF410" s="79"/>
      <c r="AG410" s="2"/>
      <c r="AH410" s="2"/>
      <c r="AI410" s="2"/>
      <c r="AJ410" s="2"/>
      <c r="AK410" s="2"/>
      <c r="AL410" s="2"/>
      <c r="AM410" s="2"/>
      <c r="AN410" s="2"/>
      <c r="AO410" s="2"/>
    </row>
    <row r="411" spans="22:41" x14ac:dyDescent="0.35">
      <c r="V411" s="77"/>
      <c r="W411" s="77"/>
      <c r="X411" s="77"/>
      <c r="Y411" s="77"/>
      <c r="Z411" s="77"/>
      <c r="AA411" s="77"/>
      <c r="AB411" s="77"/>
      <c r="AC411" s="77"/>
      <c r="AD411" s="77"/>
      <c r="AF411" s="79"/>
      <c r="AG411" s="2"/>
      <c r="AH411" s="2"/>
      <c r="AI411" s="2"/>
      <c r="AJ411" s="2"/>
      <c r="AK411" s="2"/>
      <c r="AL411" s="2"/>
      <c r="AM411" s="2"/>
      <c r="AN411" s="2"/>
      <c r="AO411" s="2"/>
    </row>
    <row r="412" spans="22:41" x14ac:dyDescent="0.35">
      <c r="V412" s="77"/>
      <c r="W412" s="77"/>
      <c r="X412" s="77"/>
      <c r="Y412" s="77"/>
      <c r="Z412" s="77"/>
      <c r="AA412" s="77"/>
      <c r="AB412" s="77"/>
      <c r="AC412" s="77"/>
      <c r="AD412" s="77"/>
      <c r="AF412" s="79"/>
      <c r="AG412" s="2"/>
      <c r="AH412" s="2"/>
      <c r="AI412" s="2"/>
      <c r="AJ412" s="2"/>
      <c r="AK412" s="2"/>
      <c r="AL412" s="2"/>
      <c r="AM412" s="2"/>
      <c r="AN412" s="2"/>
      <c r="AO412" s="2"/>
    </row>
    <row r="413" spans="22:41" x14ac:dyDescent="0.35">
      <c r="V413" s="77"/>
      <c r="W413" s="77"/>
      <c r="X413" s="77"/>
      <c r="Y413" s="77"/>
      <c r="Z413" s="77"/>
      <c r="AA413" s="77"/>
      <c r="AB413" s="77"/>
      <c r="AC413" s="77"/>
      <c r="AD413" s="77"/>
      <c r="AF413" s="79"/>
      <c r="AG413" s="2"/>
      <c r="AH413" s="2"/>
      <c r="AI413" s="2"/>
      <c r="AJ413" s="2"/>
      <c r="AK413" s="2"/>
      <c r="AL413" s="2"/>
      <c r="AM413" s="2"/>
      <c r="AN413" s="2"/>
      <c r="AO413" s="2"/>
    </row>
    <row r="414" spans="22:41" x14ac:dyDescent="0.35">
      <c r="V414" s="77"/>
      <c r="W414" s="77"/>
      <c r="X414" s="77"/>
      <c r="Y414" s="77"/>
      <c r="Z414" s="77"/>
      <c r="AA414" s="77"/>
      <c r="AB414" s="77"/>
      <c r="AC414" s="77"/>
      <c r="AD414" s="77"/>
      <c r="AF414" s="79"/>
      <c r="AG414" s="2"/>
      <c r="AH414" s="2"/>
      <c r="AI414" s="2"/>
      <c r="AJ414" s="2"/>
      <c r="AK414" s="2"/>
      <c r="AL414" s="2"/>
      <c r="AM414" s="2"/>
      <c r="AN414" s="2"/>
      <c r="AO414" s="2"/>
    </row>
    <row r="415" spans="22:41" x14ac:dyDescent="0.35">
      <c r="V415" s="77"/>
      <c r="W415" s="77"/>
      <c r="X415" s="77"/>
      <c r="Y415" s="77"/>
      <c r="Z415" s="77"/>
      <c r="AA415" s="77"/>
      <c r="AB415" s="77"/>
      <c r="AC415" s="77"/>
      <c r="AD415" s="77"/>
      <c r="AF415" s="79"/>
      <c r="AG415" s="2"/>
      <c r="AH415" s="2"/>
      <c r="AI415" s="2"/>
      <c r="AJ415" s="2"/>
      <c r="AK415" s="2"/>
      <c r="AL415" s="2"/>
      <c r="AM415" s="2"/>
      <c r="AN415" s="2"/>
      <c r="AO415" s="2"/>
    </row>
    <row r="416" spans="22:41" x14ac:dyDescent="0.35">
      <c r="V416" s="77"/>
      <c r="W416" s="77"/>
      <c r="X416" s="77"/>
      <c r="Y416" s="77"/>
      <c r="Z416" s="77"/>
      <c r="AA416" s="77"/>
      <c r="AB416" s="77"/>
      <c r="AC416" s="77"/>
      <c r="AD416" s="77"/>
      <c r="AF416" s="79"/>
      <c r="AG416" s="2"/>
      <c r="AH416" s="2"/>
      <c r="AI416" s="2"/>
      <c r="AJ416" s="2"/>
      <c r="AK416" s="2"/>
      <c r="AL416" s="2"/>
      <c r="AM416" s="2"/>
      <c r="AN416" s="2"/>
      <c r="AO416" s="2"/>
    </row>
    <row r="417" spans="22:41" x14ac:dyDescent="0.35">
      <c r="V417" s="77"/>
      <c r="W417" s="77"/>
      <c r="X417" s="77"/>
      <c r="Y417" s="77"/>
      <c r="Z417" s="77"/>
      <c r="AA417" s="77"/>
      <c r="AB417" s="77"/>
      <c r="AC417" s="77"/>
      <c r="AD417" s="77"/>
      <c r="AF417" s="79"/>
      <c r="AG417" s="2"/>
      <c r="AH417" s="2"/>
      <c r="AI417" s="2"/>
      <c r="AJ417" s="2"/>
      <c r="AK417" s="2"/>
      <c r="AL417" s="2"/>
      <c r="AM417" s="2"/>
      <c r="AN417" s="2"/>
      <c r="AO417" s="2"/>
    </row>
    <row r="418" spans="22:41" x14ac:dyDescent="0.35">
      <c r="V418" s="77"/>
      <c r="W418" s="77"/>
      <c r="X418" s="77"/>
      <c r="Y418" s="77"/>
      <c r="Z418" s="77"/>
      <c r="AA418" s="77"/>
      <c r="AB418" s="77"/>
      <c r="AC418" s="77"/>
      <c r="AD418" s="77"/>
      <c r="AF418" s="79"/>
      <c r="AG418" s="2"/>
      <c r="AH418" s="2"/>
      <c r="AI418" s="2"/>
      <c r="AJ418" s="2"/>
      <c r="AK418" s="2"/>
      <c r="AL418" s="2"/>
      <c r="AM418" s="2"/>
      <c r="AN418" s="2"/>
      <c r="AO418" s="2"/>
    </row>
    <row r="419" spans="22:41" x14ac:dyDescent="0.35">
      <c r="V419" s="77"/>
      <c r="W419" s="77"/>
      <c r="X419" s="77"/>
      <c r="Y419" s="77"/>
      <c r="Z419" s="77"/>
      <c r="AA419" s="77"/>
      <c r="AB419" s="77"/>
      <c r="AC419" s="77"/>
      <c r="AD419" s="77"/>
      <c r="AF419" s="79"/>
      <c r="AG419" s="2"/>
      <c r="AH419" s="2"/>
      <c r="AI419" s="2"/>
      <c r="AJ419" s="2"/>
      <c r="AK419" s="2"/>
      <c r="AL419" s="2"/>
      <c r="AM419" s="2"/>
      <c r="AN419" s="2"/>
      <c r="AO419" s="2"/>
    </row>
    <row r="420" spans="22:41" x14ac:dyDescent="0.35">
      <c r="V420" s="77"/>
      <c r="W420" s="77"/>
      <c r="X420" s="77"/>
      <c r="Y420" s="77"/>
      <c r="Z420" s="77"/>
      <c r="AA420" s="77"/>
      <c r="AB420" s="77"/>
      <c r="AC420" s="77"/>
      <c r="AD420" s="77"/>
      <c r="AF420" s="79"/>
      <c r="AG420" s="2"/>
      <c r="AH420" s="2"/>
      <c r="AI420" s="2"/>
      <c r="AJ420" s="2"/>
      <c r="AK420" s="2"/>
      <c r="AL420" s="2"/>
      <c r="AM420" s="2"/>
      <c r="AN420" s="2"/>
      <c r="AO420" s="2"/>
    </row>
    <row r="421" spans="22:41" x14ac:dyDescent="0.35">
      <c r="V421" s="77"/>
      <c r="W421" s="77"/>
      <c r="X421" s="77"/>
      <c r="Y421" s="77"/>
      <c r="Z421" s="77"/>
      <c r="AA421" s="77"/>
      <c r="AB421" s="77"/>
      <c r="AC421" s="77"/>
      <c r="AD421" s="77"/>
      <c r="AF421" s="79"/>
      <c r="AG421" s="2"/>
      <c r="AH421" s="2"/>
      <c r="AI421" s="2"/>
      <c r="AJ421" s="2"/>
      <c r="AK421" s="2"/>
      <c r="AL421" s="2"/>
      <c r="AM421" s="2"/>
      <c r="AN421" s="2"/>
      <c r="AO421" s="2"/>
    </row>
    <row r="422" spans="22:41" x14ac:dyDescent="0.35">
      <c r="V422" s="77"/>
      <c r="W422" s="77"/>
      <c r="X422" s="77"/>
      <c r="Y422" s="77"/>
      <c r="Z422" s="77"/>
      <c r="AA422" s="77"/>
      <c r="AB422" s="77"/>
      <c r="AC422" s="77"/>
      <c r="AD422" s="77"/>
      <c r="AF422" s="79"/>
      <c r="AG422" s="2"/>
      <c r="AH422" s="2"/>
      <c r="AI422" s="2"/>
      <c r="AJ422" s="2"/>
      <c r="AK422" s="2"/>
      <c r="AL422" s="2"/>
      <c r="AM422" s="2"/>
      <c r="AN422" s="2"/>
      <c r="AO422" s="2"/>
    </row>
    <row r="423" spans="22:41" x14ac:dyDescent="0.35">
      <c r="V423" s="77"/>
      <c r="W423" s="77"/>
      <c r="X423" s="77"/>
      <c r="Y423" s="77"/>
      <c r="Z423" s="77"/>
      <c r="AA423" s="77"/>
      <c r="AB423" s="77"/>
      <c r="AC423" s="77"/>
      <c r="AD423" s="77"/>
      <c r="AF423" s="79"/>
      <c r="AG423" s="2"/>
      <c r="AH423" s="2"/>
      <c r="AI423" s="2"/>
      <c r="AJ423" s="2"/>
      <c r="AK423" s="2"/>
      <c r="AL423" s="2"/>
      <c r="AM423" s="2"/>
      <c r="AN423" s="2"/>
      <c r="AO423" s="2"/>
    </row>
    <row r="424" spans="22:41" x14ac:dyDescent="0.35">
      <c r="V424" s="77"/>
      <c r="W424" s="77"/>
      <c r="X424" s="77"/>
      <c r="Y424" s="77"/>
      <c r="Z424" s="77"/>
      <c r="AA424" s="77"/>
      <c r="AB424" s="77"/>
      <c r="AC424" s="77"/>
      <c r="AD424" s="77"/>
      <c r="AF424" s="79"/>
      <c r="AG424" s="2"/>
      <c r="AH424" s="2"/>
      <c r="AI424" s="2"/>
      <c r="AJ424" s="2"/>
      <c r="AK424" s="2"/>
      <c r="AL424" s="2"/>
      <c r="AM424" s="2"/>
      <c r="AN424" s="2"/>
      <c r="AO424" s="2"/>
    </row>
    <row r="425" spans="22:41" x14ac:dyDescent="0.35">
      <c r="V425" s="77"/>
      <c r="W425" s="77"/>
      <c r="X425" s="77"/>
      <c r="Y425" s="77"/>
      <c r="Z425" s="77"/>
      <c r="AA425" s="77"/>
      <c r="AB425" s="77"/>
      <c r="AC425" s="77"/>
      <c r="AD425" s="77"/>
      <c r="AF425" s="79"/>
      <c r="AG425" s="2"/>
      <c r="AH425" s="2"/>
      <c r="AI425" s="2"/>
      <c r="AJ425" s="2"/>
      <c r="AK425" s="2"/>
      <c r="AL425" s="2"/>
      <c r="AM425" s="2"/>
      <c r="AN425" s="2"/>
      <c r="AO425" s="2"/>
    </row>
    <row r="426" spans="22:41" x14ac:dyDescent="0.35">
      <c r="V426" s="77"/>
      <c r="W426" s="77"/>
      <c r="X426" s="77"/>
      <c r="Y426" s="77"/>
      <c r="Z426" s="77"/>
      <c r="AA426" s="77"/>
      <c r="AB426" s="77"/>
      <c r="AC426" s="77"/>
      <c r="AD426" s="77"/>
      <c r="AF426" s="79"/>
      <c r="AG426" s="2"/>
      <c r="AH426" s="2"/>
      <c r="AI426" s="2"/>
      <c r="AJ426" s="2"/>
      <c r="AK426" s="2"/>
      <c r="AL426" s="2"/>
      <c r="AM426" s="2"/>
      <c r="AN426" s="2"/>
      <c r="AO426" s="2"/>
    </row>
    <row r="427" spans="22:41" x14ac:dyDescent="0.35">
      <c r="V427" s="77"/>
      <c r="W427" s="77"/>
      <c r="X427" s="77"/>
      <c r="Y427" s="77"/>
      <c r="Z427" s="77"/>
      <c r="AA427" s="77"/>
      <c r="AB427" s="77"/>
      <c r="AC427" s="77"/>
      <c r="AD427" s="77"/>
      <c r="AF427" s="79"/>
      <c r="AG427" s="2"/>
      <c r="AH427" s="2"/>
      <c r="AI427" s="2"/>
      <c r="AJ427" s="2"/>
      <c r="AK427" s="2"/>
      <c r="AL427" s="2"/>
      <c r="AM427" s="2"/>
      <c r="AN427" s="2"/>
      <c r="AO427" s="2"/>
    </row>
    <row r="428" spans="22:41" x14ac:dyDescent="0.35">
      <c r="V428" s="77"/>
      <c r="W428" s="77"/>
      <c r="X428" s="77"/>
      <c r="Y428" s="77"/>
      <c r="Z428" s="77"/>
      <c r="AA428" s="77"/>
      <c r="AB428" s="77"/>
      <c r="AC428" s="77"/>
      <c r="AD428" s="77"/>
      <c r="AF428" s="79"/>
      <c r="AG428" s="2"/>
      <c r="AH428" s="2"/>
      <c r="AI428" s="2"/>
      <c r="AJ428" s="2"/>
      <c r="AK428" s="2"/>
      <c r="AL428" s="2"/>
      <c r="AM428" s="2"/>
      <c r="AN428" s="2"/>
      <c r="AO428" s="2"/>
    </row>
    <row r="429" spans="22:41" x14ac:dyDescent="0.35">
      <c r="V429" s="77"/>
      <c r="W429" s="77"/>
      <c r="X429" s="77"/>
      <c r="Y429" s="77"/>
      <c r="Z429" s="77"/>
      <c r="AA429" s="77"/>
      <c r="AB429" s="77"/>
      <c r="AC429" s="77"/>
      <c r="AD429" s="77"/>
      <c r="AF429" s="79"/>
      <c r="AG429" s="2"/>
      <c r="AH429" s="2"/>
      <c r="AI429" s="2"/>
      <c r="AJ429" s="2"/>
      <c r="AK429" s="2"/>
      <c r="AL429" s="2"/>
      <c r="AM429" s="2"/>
      <c r="AN429" s="2"/>
      <c r="AO429" s="2"/>
    </row>
    <row r="430" spans="22:41" x14ac:dyDescent="0.35">
      <c r="V430" s="77"/>
      <c r="W430" s="77"/>
      <c r="X430" s="77"/>
      <c r="Y430" s="77"/>
      <c r="Z430" s="77"/>
      <c r="AA430" s="77"/>
      <c r="AB430" s="77"/>
      <c r="AC430" s="77"/>
      <c r="AD430" s="77"/>
      <c r="AF430" s="79"/>
      <c r="AG430" s="2"/>
      <c r="AH430" s="2"/>
      <c r="AI430" s="2"/>
      <c r="AJ430" s="2"/>
      <c r="AK430" s="2"/>
      <c r="AL430" s="2"/>
      <c r="AM430" s="2"/>
      <c r="AN430" s="2"/>
      <c r="AO430" s="2"/>
    </row>
    <row r="431" spans="22:41" x14ac:dyDescent="0.35">
      <c r="V431" s="77"/>
      <c r="W431" s="77"/>
      <c r="X431" s="77"/>
      <c r="Y431" s="77"/>
      <c r="Z431" s="77"/>
      <c r="AA431" s="77"/>
      <c r="AB431" s="77"/>
      <c r="AC431" s="77"/>
      <c r="AD431" s="77"/>
      <c r="AF431" s="79"/>
      <c r="AG431" s="2"/>
      <c r="AH431" s="2"/>
      <c r="AI431" s="2"/>
      <c r="AJ431" s="2"/>
      <c r="AK431" s="2"/>
      <c r="AL431" s="2"/>
      <c r="AM431" s="2"/>
      <c r="AN431" s="2"/>
      <c r="AO431" s="2"/>
    </row>
    <row r="432" spans="22:41" x14ac:dyDescent="0.35">
      <c r="V432" s="77"/>
      <c r="W432" s="77"/>
      <c r="X432" s="77"/>
      <c r="Y432" s="77"/>
      <c r="Z432" s="77"/>
      <c r="AA432" s="77"/>
      <c r="AB432" s="77"/>
      <c r="AC432" s="77"/>
      <c r="AD432" s="77"/>
      <c r="AF432" s="79"/>
      <c r="AG432" s="2"/>
      <c r="AH432" s="2"/>
      <c r="AI432" s="2"/>
      <c r="AJ432" s="2"/>
      <c r="AK432" s="2"/>
      <c r="AL432" s="2"/>
      <c r="AM432" s="2"/>
      <c r="AN432" s="2"/>
      <c r="AO432" s="2"/>
    </row>
    <row r="433" spans="22:41" x14ac:dyDescent="0.35">
      <c r="V433" s="77"/>
      <c r="W433" s="77"/>
      <c r="X433" s="77"/>
      <c r="Y433" s="77"/>
      <c r="Z433" s="77"/>
      <c r="AA433" s="77"/>
      <c r="AB433" s="77"/>
      <c r="AC433" s="77"/>
      <c r="AD433" s="77"/>
      <c r="AF433" s="79"/>
      <c r="AG433" s="2"/>
      <c r="AH433" s="2"/>
      <c r="AI433" s="2"/>
      <c r="AJ433" s="2"/>
      <c r="AK433" s="2"/>
      <c r="AL433" s="2"/>
      <c r="AM433" s="2"/>
      <c r="AN433" s="2"/>
      <c r="AO433" s="2"/>
    </row>
    <row r="434" spans="22:41" x14ac:dyDescent="0.35">
      <c r="V434" s="77"/>
      <c r="W434" s="77"/>
      <c r="X434" s="77"/>
      <c r="Y434" s="77"/>
      <c r="Z434" s="77"/>
      <c r="AA434" s="77"/>
      <c r="AB434" s="77"/>
      <c r="AC434" s="77"/>
      <c r="AD434" s="77"/>
      <c r="AF434" s="79"/>
      <c r="AG434" s="2"/>
      <c r="AH434" s="2"/>
      <c r="AI434" s="2"/>
      <c r="AJ434" s="2"/>
      <c r="AK434" s="2"/>
      <c r="AL434" s="2"/>
      <c r="AM434" s="2"/>
      <c r="AN434" s="2"/>
      <c r="AO434" s="2"/>
    </row>
    <row r="435" spans="22:41" x14ac:dyDescent="0.35">
      <c r="V435" s="77"/>
      <c r="W435" s="77"/>
      <c r="X435" s="77"/>
      <c r="Y435" s="77"/>
      <c r="Z435" s="77"/>
      <c r="AA435" s="77"/>
      <c r="AB435" s="77"/>
      <c r="AC435" s="77"/>
      <c r="AD435" s="77"/>
      <c r="AF435" s="79"/>
      <c r="AG435" s="2"/>
      <c r="AH435" s="2"/>
      <c r="AI435" s="2"/>
      <c r="AJ435" s="2"/>
      <c r="AK435" s="2"/>
      <c r="AL435" s="2"/>
      <c r="AM435" s="2"/>
      <c r="AN435" s="2"/>
      <c r="AO435" s="2"/>
    </row>
    <row r="436" spans="22:41" x14ac:dyDescent="0.35">
      <c r="V436" s="77"/>
      <c r="W436" s="77"/>
      <c r="X436" s="77"/>
      <c r="Y436" s="77"/>
      <c r="Z436" s="77"/>
      <c r="AA436" s="77"/>
      <c r="AB436" s="77"/>
      <c r="AC436" s="77"/>
      <c r="AD436" s="77"/>
      <c r="AF436" s="79"/>
      <c r="AG436" s="2"/>
      <c r="AH436" s="2"/>
      <c r="AI436" s="2"/>
      <c r="AJ436" s="2"/>
      <c r="AK436" s="2"/>
      <c r="AL436" s="2"/>
      <c r="AM436" s="2"/>
      <c r="AN436" s="2"/>
      <c r="AO436" s="2"/>
    </row>
    <row r="437" spans="22:41" x14ac:dyDescent="0.35">
      <c r="V437" s="77"/>
      <c r="W437" s="77"/>
      <c r="X437" s="77"/>
      <c r="Y437" s="77"/>
      <c r="Z437" s="77"/>
      <c r="AA437" s="77"/>
      <c r="AB437" s="77"/>
      <c r="AC437" s="77"/>
      <c r="AD437" s="77"/>
      <c r="AF437" s="79"/>
      <c r="AG437" s="2"/>
      <c r="AH437" s="2"/>
      <c r="AI437" s="2"/>
      <c r="AJ437" s="2"/>
      <c r="AK437" s="2"/>
      <c r="AL437" s="2"/>
      <c r="AM437" s="2"/>
      <c r="AN437" s="2"/>
      <c r="AO437" s="2"/>
    </row>
    <row r="438" spans="22:41" x14ac:dyDescent="0.35">
      <c r="V438" s="77"/>
      <c r="W438" s="77"/>
      <c r="X438" s="77"/>
      <c r="Y438" s="77"/>
      <c r="Z438" s="77"/>
      <c r="AA438" s="77"/>
      <c r="AB438" s="77"/>
      <c r="AC438" s="77"/>
      <c r="AD438" s="77"/>
      <c r="AF438" s="79"/>
      <c r="AG438" s="2"/>
      <c r="AH438" s="2"/>
      <c r="AI438" s="2"/>
      <c r="AJ438" s="2"/>
      <c r="AK438" s="2"/>
      <c r="AL438" s="2"/>
      <c r="AM438" s="2"/>
      <c r="AN438" s="2"/>
      <c r="AO438" s="2"/>
    </row>
    <row r="439" spans="22:41" x14ac:dyDescent="0.35">
      <c r="V439" s="77"/>
      <c r="W439" s="77"/>
      <c r="X439" s="77"/>
      <c r="Y439" s="77"/>
      <c r="Z439" s="77"/>
      <c r="AA439" s="77"/>
      <c r="AB439" s="77"/>
      <c r="AC439" s="77"/>
      <c r="AD439" s="77"/>
      <c r="AF439" s="79"/>
      <c r="AG439" s="2"/>
      <c r="AH439" s="2"/>
      <c r="AI439" s="2"/>
      <c r="AJ439" s="2"/>
      <c r="AK439" s="2"/>
      <c r="AL439" s="2"/>
      <c r="AM439" s="2"/>
      <c r="AN439" s="2"/>
      <c r="AO439" s="2"/>
    </row>
    <row r="440" spans="22:41" x14ac:dyDescent="0.35">
      <c r="V440" s="77"/>
      <c r="W440" s="77"/>
      <c r="X440" s="77"/>
      <c r="Y440" s="77"/>
      <c r="Z440" s="77"/>
      <c r="AA440" s="77"/>
      <c r="AB440" s="77"/>
      <c r="AC440" s="77"/>
      <c r="AD440" s="77"/>
      <c r="AF440" s="79"/>
      <c r="AG440" s="2"/>
      <c r="AH440" s="2"/>
      <c r="AI440" s="2"/>
      <c r="AJ440" s="2"/>
      <c r="AK440" s="2"/>
      <c r="AL440" s="2"/>
      <c r="AM440" s="2"/>
      <c r="AN440" s="2"/>
      <c r="AO440" s="2"/>
    </row>
    <row r="441" spans="22:41" x14ac:dyDescent="0.35">
      <c r="V441" s="77"/>
      <c r="W441" s="77"/>
      <c r="X441" s="77"/>
      <c r="Y441" s="77"/>
      <c r="Z441" s="77"/>
      <c r="AA441" s="77"/>
      <c r="AB441" s="77"/>
      <c r="AC441" s="77"/>
      <c r="AD441" s="77"/>
      <c r="AF441" s="79"/>
      <c r="AG441" s="2"/>
      <c r="AH441" s="2"/>
      <c r="AI441" s="2"/>
      <c r="AJ441" s="2"/>
      <c r="AK441" s="2"/>
      <c r="AL441" s="2"/>
      <c r="AM441" s="2"/>
      <c r="AN441" s="2"/>
      <c r="AO441" s="2"/>
    </row>
    <row r="442" spans="22:41" x14ac:dyDescent="0.35">
      <c r="V442" s="77"/>
      <c r="W442" s="77"/>
      <c r="X442" s="77"/>
      <c r="Y442" s="77"/>
      <c r="Z442" s="77"/>
      <c r="AA442" s="77"/>
      <c r="AB442" s="77"/>
      <c r="AC442" s="77"/>
      <c r="AD442" s="77"/>
      <c r="AF442" s="79"/>
      <c r="AG442" s="2"/>
      <c r="AH442" s="2"/>
      <c r="AI442" s="2"/>
      <c r="AJ442" s="2"/>
      <c r="AK442" s="2"/>
      <c r="AL442" s="2"/>
      <c r="AM442" s="2"/>
      <c r="AN442" s="2"/>
      <c r="AO442" s="2"/>
    </row>
    <row r="443" spans="22:41" x14ac:dyDescent="0.35">
      <c r="V443" s="77"/>
      <c r="W443" s="77"/>
      <c r="X443" s="77"/>
      <c r="Y443" s="77"/>
      <c r="Z443" s="77"/>
      <c r="AA443" s="77"/>
      <c r="AB443" s="77"/>
      <c r="AC443" s="77"/>
      <c r="AD443" s="77"/>
      <c r="AF443" s="79"/>
      <c r="AG443" s="2"/>
      <c r="AH443" s="2"/>
      <c r="AI443" s="2"/>
      <c r="AJ443" s="2"/>
      <c r="AK443" s="2"/>
      <c r="AL443" s="2"/>
      <c r="AM443" s="2"/>
      <c r="AN443" s="2"/>
      <c r="AO443" s="2"/>
    </row>
    <row r="444" spans="22:41" x14ac:dyDescent="0.35">
      <c r="V444" s="77"/>
      <c r="W444" s="77"/>
      <c r="X444" s="77"/>
      <c r="Y444" s="77"/>
      <c r="Z444" s="77"/>
      <c r="AA444" s="77"/>
      <c r="AB444" s="77"/>
      <c r="AC444" s="77"/>
      <c r="AD444" s="77"/>
      <c r="AF444" s="79"/>
      <c r="AG444" s="2"/>
      <c r="AH444" s="2"/>
      <c r="AI444" s="2"/>
      <c r="AJ444" s="2"/>
      <c r="AK444" s="2"/>
      <c r="AL444" s="2"/>
      <c r="AM444" s="2"/>
      <c r="AN444" s="2"/>
      <c r="AO444" s="2"/>
    </row>
    <row r="445" spans="22:41" x14ac:dyDescent="0.35">
      <c r="V445" s="77"/>
      <c r="W445" s="77"/>
      <c r="X445" s="77"/>
      <c r="Y445" s="77"/>
      <c r="Z445" s="77"/>
      <c r="AA445" s="77"/>
      <c r="AB445" s="77"/>
      <c r="AC445" s="77"/>
      <c r="AD445" s="77"/>
      <c r="AF445" s="79"/>
      <c r="AG445" s="2"/>
      <c r="AH445" s="2"/>
      <c r="AI445" s="2"/>
      <c r="AJ445" s="2"/>
      <c r="AK445" s="2"/>
      <c r="AL445" s="2"/>
      <c r="AM445" s="2"/>
      <c r="AN445" s="2"/>
      <c r="AO445" s="2"/>
    </row>
    <row r="446" spans="22:41" x14ac:dyDescent="0.35">
      <c r="V446" s="77"/>
      <c r="W446" s="77"/>
      <c r="X446" s="77"/>
      <c r="Y446" s="77"/>
      <c r="Z446" s="77"/>
      <c r="AA446" s="77"/>
      <c r="AB446" s="77"/>
      <c r="AC446" s="77"/>
      <c r="AD446" s="77"/>
      <c r="AF446" s="79"/>
      <c r="AG446" s="2"/>
      <c r="AH446" s="2"/>
      <c r="AI446" s="2"/>
      <c r="AJ446" s="2"/>
      <c r="AK446" s="2"/>
      <c r="AL446" s="2"/>
      <c r="AM446" s="2"/>
      <c r="AN446" s="2"/>
      <c r="AO446" s="2"/>
    </row>
    <row r="447" spans="22:41" x14ac:dyDescent="0.35">
      <c r="V447" s="77"/>
      <c r="W447" s="77"/>
      <c r="X447" s="77"/>
      <c r="Y447" s="77"/>
      <c r="Z447" s="77"/>
      <c r="AA447" s="77"/>
      <c r="AB447" s="77"/>
      <c r="AC447" s="77"/>
      <c r="AD447" s="77"/>
      <c r="AF447" s="79"/>
      <c r="AG447" s="2"/>
      <c r="AH447" s="2"/>
      <c r="AI447" s="2"/>
      <c r="AJ447" s="2"/>
      <c r="AK447" s="2"/>
      <c r="AL447" s="2"/>
      <c r="AM447" s="2"/>
      <c r="AN447" s="2"/>
      <c r="AO447" s="2"/>
    </row>
    <row r="448" spans="22:41" x14ac:dyDescent="0.35">
      <c r="V448" s="77"/>
      <c r="W448" s="77"/>
      <c r="X448" s="77"/>
      <c r="Y448" s="77"/>
      <c r="Z448" s="77"/>
      <c r="AA448" s="77"/>
      <c r="AB448" s="77"/>
      <c r="AC448" s="77"/>
      <c r="AD448" s="77"/>
      <c r="AF448" s="79"/>
      <c r="AG448" s="2"/>
      <c r="AH448" s="2"/>
      <c r="AI448" s="2"/>
      <c r="AJ448" s="2"/>
      <c r="AK448" s="2"/>
      <c r="AL448" s="2"/>
      <c r="AM448" s="2"/>
      <c r="AN448" s="2"/>
      <c r="AO448" s="2"/>
    </row>
    <row r="449" spans="22:41" x14ac:dyDescent="0.35">
      <c r="V449" s="77"/>
      <c r="W449" s="77"/>
      <c r="X449" s="77"/>
      <c r="Y449" s="77"/>
      <c r="Z449" s="77"/>
      <c r="AA449" s="77"/>
      <c r="AB449" s="77"/>
      <c r="AC449" s="77"/>
      <c r="AD449" s="77"/>
      <c r="AF449" s="79"/>
      <c r="AG449" s="2"/>
      <c r="AH449" s="2"/>
      <c r="AI449" s="2"/>
      <c r="AJ449" s="2"/>
      <c r="AK449" s="2"/>
      <c r="AL449" s="2"/>
      <c r="AM449" s="2"/>
      <c r="AN449" s="2"/>
      <c r="AO449" s="2"/>
    </row>
    <row r="450" spans="22:41" x14ac:dyDescent="0.35">
      <c r="V450" s="77"/>
      <c r="W450" s="77"/>
      <c r="X450" s="77"/>
      <c r="Y450" s="77"/>
      <c r="Z450" s="77"/>
      <c r="AA450" s="77"/>
      <c r="AB450" s="77"/>
      <c r="AC450" s="77"/>
      <c r="AD450" s="77"/>
      <c r="AF450" s="79"/>
      <c r="AG450" s="2"/>
      <c r="AH450" s="2"/>
      <c r="AI450" s="2"/>
      <c r="AJ450" s="2"/>
      <c r="AK450" s="2"/>
      <c r="AL450" s="2"/>
      <c r="AM450" s="2"/>
      <c r="AN450" s="2"/>
      <c r="AO450" s="2"/>
    </row>
    <row r="451" spans="22:41" x14ac:dyDescent="0.35">
      <c r="V451" s="77"/>
      <c r="W451" s="77"/>
      <c r="X451" s="77"/>
      <c r="Y451" s="77"/>
      <c r="Z451" s="77"/>
      <c r="AA451" s="77"/>
      <c r="AB451" s="77"/>
      <c r="AC451" s="77"/>
      <c r="AD451" s="77"/>
      <c r="AF451" s="79"/>
      <c r="AG451" s="2"/>
      <c r="AH451" s="2"/>
      <c r="AI451" s="2"/>
      <c r="AJ451" s="2"/>
      <c r="AK451" s="2"/>
      <c r="AL451" s="2"/>
      <c r="AM451" s="2"/>
      <c r="AN451" s="2"/>
      <c r="AO451" s="2"/>
    </row>
    <row r="452" spans="22:41" x14ac:dyDescent="0.35">
      <c r="V452" s="77"/>
      <c r="W452" s="77"/>
      <c r="X452" s="77"/>
      <c r="Y452" s="77"/>
      <c r="Z452" s="77"/>
      <c r="AA452" s="77"/>
      <c r="AB452" s="77"/>
      <c r="AC452" s="77"/>
      <c r="AD452" s="77"/>
      <c r="AF452" s="79"/>
      <c r="AG452" s="2"/>
      <c r="AH452" s="2"/>
      <c r="AI452" s="2"/>
      <c r="AJ452" s="2"/>
      <c r="AK452" s="2"/>
      <c r="AL452" s="2"/>
      <c r="AM452" s="2"/>
      <c r="AN452" s="2"/>
      <c r="AO452" s="2"/>
    </row>
    <row r="453" spans="22:41" x14ac:dyDescent="0.35">
      <c r="V453" s="77"/>
      <c r="W453" s="77"/>
      <c r="X453" s="77"/>
      <c r="Y453" s="77"/>
      <c r="Z453" s="77"/>
      <c r="AA453" s="77"/>
      <c r="AB453" s="77"/>
      <c r="AC453" s="77"/>
      <c r="AD453" s="77"/>
      <c r="AF453" s="79"/>
      <c r="AG453" s="2"/>
      <c r="AH453" s="2"/>
      <c r="AI453" s="2"/>
      <c r="AJ453" s="2"/>
      <c r="AK453" s="2"/>
      <c r="AL453" s="2"/>
      <c r="AM453" s="2"/>
      <c r="AN453" s="2"/>
      <c r="AO453" s="2"/>
    </row>
    <row r="454" spans="22:41" x14ac:dyDescent="0.35">
      <c r="V454" s="77"/>
      <c r="W454" s="77"/>
      <c r="X454" s="77"/>
      <c r="Y454" s="77"/>
      <c r="Z454" s="77"/>
      <c r="AA454" s="77"/>
      <c r="AB454" s="77"/>
      <c r="AC454" s="77"/>
      <c r="AD454" s="77"/>
      <c r="AF454" s="79"/>
      <c r="AG454" s="2"/>
      <c r="AH454" s="2"/>
      <c r="AI454" s="2"/>
      <c r="AJ454" s="2"/>
      <c r="AK454" s="2"/>
      <c r="AL454" s="2"/>
      <c r="AM454" s="2"/>
      <c r="AN454" s="2"/>
      <c r="AO454" s="2"/>
    </row>
    <row r="455" spans="22:41" x14ac:dyDescent="0.35">
      <c r="V455" s="77"/>
      <c r="W455" s="77"/>
      <c r="X455" s="77"/>
      <c r="Y455" s="77"/>
      <c r="Z455" s="77"/>
      <c r="AA455" s="77"/>
      <c r="AB455" s="77"/>
      <c r="AC455" s="77"/>
      <c r="AD455" s="77"/>
      <c r="AF455" s="79"/>
      <c r="AG455" s="2"/>
      <c r="AH455" s="2"/>
      <c r="AI455" s="2"/>
      <c r="AJ455" s="2"/>
      <c r="AK455" s="2"/>
      <c r="AL455" s="2"/>
      <c r="AM455" s="2"/>
      <c r="AN455" s="2"/>
      <c r="AO455" s="2"/>
    </row>
    <row r="456" spans="22:41" x14ac:dyDescent="0.35">
      <c r="V456" s="77"/>
      <c r="W456" s="77"/>
      <c r="X456" s="77"/>
      <c r="Y456" s="77"/>
      <c r="Z456" s="77"/>
      <c r="AA456" s="77"/>
      <c r="AB456" s="77"/>
      <c r="AC456" s="77"/>
      <c r="AD456" s="77"/>
      <c r="AF456" s="79"/>
      <c r="AG456" s="2"/>
      <c r="AH456" s="2"/>
      <c r="AI456" s="2"/>
      <c r="AJ456" s="2"/>
      <c r="AK456" s="2"/>
      <c r="AL456" s="2"/>
      <c r="AM456" s="2"/>
      <c r="AN456" s="2"/>
      <c r="AO456" s="2"/>
    </row>
    <row r="457" spans="22:41" x14ac:dyDescent="0.35">
      <c r="V457" s="77"/>
      <c r="W457" s="77"/>
      <c r="X457" s="77"/>
      <c r="Y457" s="77"/>
      <c r="Z457" s="77"/>
      <c r="AA457" s="77"/>
      <c r="AB457" s="77"/>
      <c r="AC457" s="77"/>
      <c r="AD457" s="77"/>
      <c r="AF457" s="79"/>
      <c r="AG457" s="2"/>
      <c r="AH457" s="2"/>
      <c r="AI457" s="2"/>
      <c r="AJ457" s="2"/>
      <c r="AK457" s="2"/>
      <c r="AL457" s="2"/>
      <c r="AM457" s="2"/>
      <c r="AN457" s="2"/>
      <c r="AO457" s="2"/>
    </row>
    <row r="458" spans="22:41" x14ac:dyDescent="0.35">
      <c r="V458" s="77"/>
      <c r="W458" s="77"/>
      <c r="X458" s="77"/>
      <c r="Y458" s="77"/>
      <c r="Z458" s="77"/>
      <c r="AA458" s="77"/>
      <c r="AB458" s="77"/>
      <c r="AC458" s="77"/>
      <c r="AD458" s="77"/>
      <c r="AF458" s="79"/>
      <c r="AG458" s="2"/>
      <c r="AH458" s="2"/>
      <c r="AI458" s="2"/>
      <c r="AJ458" s="2"/>
      <c r="AK458" s="2"/>
      <c r="AL458" s="2"/>
      <c r="AM458" s="2"/>
      <c r="AN458" s="2"/>
      <c r="AO458" s="2"/>
    </row>
    <row r="459" spans="22:41" x14ac:dyDescent="0.35">
      <c r="V459" s="77"/>
      <c r="W459" s="77"/>
      <c r="X459" s="77"/>
      <c r="Y459" s="77"/>
      <c r="Z459" s="77"/>
      <c r="AA459" s="77"/>
      <c r="AB459" s="77"/>
      <c r="AC459" s="77"/>
      <c r="AD459" s="77"/>
      <c r="AF459" s="79"/>
      <c r="AG459" s="2"/>
      <c r="AH459" s="2"/>
      <c r="AI459" s="2"/>
      <c r="AJ459" s="2"/>
      <c r="AK459" s="2"/>
      <c r="AL459" s="2"/>
      <c r="AM459" s="2"/>
      <c r="AN459" s="2"/>
      <c r="AO459" s="2"/>
    </row>
    <row r="460" spans="22:41" x14ac:dyDescent="0.35">
      <c r="V460" s="77"/>
      <c r="W460" s="77"/>
      <c r="X460" s="77"/>
      <c r="Y460" s="77"/>
      <c r="Z460" s="77"/>
      <c r="AA460" s="77"/>
      <c r="AB460" s="77"/>
      <c r="AC460" s="77"/>
      <c r="AD460" s="77"/>
      <c r="AF460" s="79"/>
      <c r="AG460" s="2"/>
      <c r="AH460" s="2"/>
      <c r="AI460" s="2"/>
      <c r="AJ460" s="2"/>
      <c r="AK460" s="2"/>
      <c r="AL460" s="2"/>
      <c r="AM460" s="2"/>
      <c r="AN460" s="2"/>
      <c r="AO460" s="2"/>
    </row>
    <row r="461" spans="22:41" x14ac:dyDescent="0.35">
      <c r="V461" s="77"/>
      <c r="W461" s="77"/>
      <c r="X461" s="77"/>
      <c r="Y461" s="77"/>
      <c r="Z461" s="77"/>
      <c r="AA461" s="77"/>
      <c r="AB461" s="77"/>
      <c r="AC461" s="77"/>
      <c r="AD461" s="77"/>
      <c r="AF461" s="79"/>
      <c r="AG461" s="2"/>
      <c r="AH461" s="2"/>
      <c r="AI461" s="2"/>
      <c r="AJ461" s="2"/>
      <c r="AK461" s="2"/>
      <c r="AL461" s="2"/>
      <c r="AM461" s="2"/>
      <c r="AN461" s="2"/>
      <c r="AO461" s="2"/>
    </row>
    <row r="462" spans="22:41" x14ac:dyDescent="0.35">
      <c r="V462" s="77"/>
      <c r="W462" s="77"/>
      <c r="X462" s="77"/>
      <c r="Y462" s="77"/>
      <c r="Z462" s="77"/>
      <c r="AA462" s="77"/>
      <c r="AB462" s="77"/>
      <c r="AC462" s="77"/>
      <c r="AD462" s="77"/>
      <c r="AF462" s="79"/>
      <c r="AG462" s="2"/>
      <c r="AH462" s="2"/>
      <c r="AI462" s="2"/>
      <c r="AJ462" s="2"/>
      <c r="AK462" s="2"/>
      <c r="AL462" s="2"/>
      <c r="AM462" s="2"/>
      <c r="AN462" s="2"/>
      <c r="AO462" s="2"/>
    </row>
    <row r="463" spans="22:41" x14ac:dyDescent="0.35">
      <c r="V463" s="77"/>
      <c r="W463" s="77"/>
      <c r="X463" s="77"/>
      <c r="Y463" s="77"/>
      <c r="Z463" s="77"/>
      <c r="AA463" s="77"/>
      <c r="AB463" s="77"/>
      <c r="AC463" s="77"/>
      <c r="AD463" s="77"/>
      <c r="AF463" s="79"/>
      <c r="AG463" s="2"/>
      <c r="AH463" s="2"/>
      <c r="AI463" s="2"/>
      <c r="AJ463" s="2"/>
      <c r="AK463" s="2"/>
      <c r="AL463" s="2"/>
      <c r="AM463" s="2"/>
      <c r="AN463" s="2"/>
      <c r="AO463" s="2"/>
    </row>
    <row r="464" spans="22:41" x14ac:dyDescent="0.35">
      <c r="V464" s="77"/>
      <c r="W464" s="77"/>
      <c r="X464" s="77"/>
      <c r="Y464" s="77"/>
      <c r="Z464" s="77"/>
      <c r="AA464" s="77"/>
      <c r="AB464" s="77"/>
      <c r="AC464" s="77"/>
      <c r="AD464" s="77"/>
      <c r="AF464" s="79"/>
      <c r="AG464" s="2"/>
      <c r="AH464" s="2"/>
      <c r="AI464" s="2"/>
      <c r="AJ464" s="2"/>
      <c r="AK464" s="2"/>
      <c r="AL464" s="2"/>
      <c r="AM464" s="2"/>
      <c r="AN464" s="2"/>
      <c r="AO464" s="2"/>
    </row>
    <row r="465" spans="22:41" x14ac:dyDescent="0.35">
      <c r="V465" s="77"/>
      <c r="W465" s="77"/>
      <c r="X465" s="77"/>
      <c r="Y465" s="77"/>
      <c r="Z465" s="77"/>
      <c r="AA465" s="77"/>
      <c r="AB465" s="77"/>
      <c r="AC465" s="77"/>
      <c r="AD465" s="77"/>
      <c r="AF465" s="79"/>
      <c r="AG465" s="2"/>
      <c r="AH465" s="2"/>
      <c r="AI465" s="2"/>
      <c r="AJ465" s="2"/>
      <c r="AK465" s="2"/>
      <c r="AL465" s="2"/>
      <c r="AM465" s="2"/>
      <c r="AN465" s="2"/>
      <c r="AO465" s="2"/>
    </row>
    <row r="466" spans="22:41" x14ac:dyDescent="0.35">
      <c r="V466" s="77"/>
      <c r="W466" s="77"/>
      <c r="X466" s="77"/>
      <c r="Y466" s="77"/>
      <c r="Z466" s="77"/>
      <c r="AA466" s="77"/>
      <c r="AB466" s="77"/>
      <c r="AC466" s="77"/>
      <c r="AD466" s="77"/>
      <c r="AF466" s="79"/>
      <c r="AG466" s="2"/>
      <c r="AH466" s="2"/>
      <c r="AI466" s="2"/>
      <c r="AJ466" s="2"/>
      <c r="AK466" s="2"/>
      <c r="AL466" s="2"/>
      <c r="AM466" s="2"/>
      <c r="AN466" s="2"/>
      <c r="AO466" s="2"/>
    </row>
    <row r="467" spans="22:41" x14ac:dyDescent="0.35">
      <c r="V467" s="77"/>
      <c r="W467" s="77"/>
      <c r="X467" s="77"/>
      <c r="Y467" s="77"/>
      <c r="Z467" s="77"/>
      <c r="AA467" s="77"/>
      <c r="AB467" s="77"/>
      <c r="AC467" s="77"/>
      <c r="AD467" s="77"/>
      <c r="AF467" s="79"/>
      <c r="AG467" s="2"/>
      <c r="AH467" s="2"/>
      <c r="AI467" s="2"/>
      <c r="AJ467" s="2"/>
      <c r="AK467" s="2"/>
      <c r="AL467" s="2"/>
      <c r="AM467" s="2"/>
      <c r="AN467" s="2"/>
      <c r="AO467" s="2"/>
    </row>
    <row r="468" spans="22:41" x14ac:dyDescent="0.35">
      <c r="V468" s="77"/>
      <c r="W468" s="77"/>
      <c r="X468" s="77"/>
      <c r="Y468" s="77"/>
      <c r="Z468" s="77"/>
      <c r="AA468" s="77"/>
      <c r="AB468" s="77"/>
      <c r="AC468" s="77"/>
      <c r="AD468" s="77"/>
      <c r="AF468" s="79"/>
      <c r="AG468" s="2"/>
      <c r="AH468" s="2"/>
      <c r="AI468" s="2"/>
      <c r="AJ468" s="2"/>
      <c r="AK468" s="2"/>
      <c r="AL468" s="2"/>
      <c r="AM468" s="2"/>
      <c r="AN468" s="2"/>
      <c r="AO468" s="2"/>
    </row>
    <row r="469" spans="22:41" x14ac:dyDescent="0.35">
      <c r="V469" s="77"/>
      <c r="W469" s="77"/>
      <c r="X469" s="77"/>
      <c r="Y469" s="77"/>
      <c r="Z469" s="77"/>
      <c r="AA469" s="77"/>
      <c r="AB469" s="77"/>
      <c r="AC469" s="77"/>
      <c r="AD469" s="77"/>
      <c r="AF469" s="79"/>
      <c r="AG469" s="2"/>
      <c r="AH469" s="2"/>
      <c r="AI469" s="2"/>
      <c r="AJ469" s="2"/>
      <c r="AK469" s="2"/>
      <c r="AL469" s="2"/>
      <c r="AM469" s="2"/>
      <c r="AN469" s="2"/>
      <c r="AO469" s="2"/>
    </row>
    <row r="470" spans="22:41" x14ac:dyDescent="0.35">
      <c r="V470" s="77"/>
      <c r="W470" s="77"/>
      <c r="X470" s="77"/>
      <c r="Y470" s="77"/>
      <c r="Z470" s="77"/>
      <c r="AA470" s="77"/>
      <c r="AB470" s="77"/>
      <c r="AC470" s="77"/>
      <c r="AD470" s="77"/>
      <c r="AF470" s="79"/>
      <c r="AG470" s="2"/>
      <c r="AH470" s="2"/>
      <c r="AI470" s="2"/>
      <c r="AJ470" s="2"/>
      <c r="AK470" s="2"/>
      <c r="AL470" s="2"/>
      <c r="AM470" s="2"/>
      <c r="AN470" s="2"/>
      <c r="AO470" s="2"/>
    </row>
    <row r="471" spans="22:41" x14ac:dyDescent="0.35">
      <c r="V471" s="77"/>
      <c r="W471" s="77"/>
      <c r="X471" s="77"/>
      <c r="Y471" s="77"/>
      <c r="Z471" s="77"/>
      <c r="AA471" s="77"/>
      <c r="AB471" s="77"/>
      <c r="AC471" s="77"/>
      <c r="AD471" s="77"/>
      <c r="AF471" s="79"/>
      <c r="AG471" s="2"/>
      <c r="AH471" s="2"/>
      <c r="AI471" s="2"/>
      <c r="AJ471" s="2"/>
      <c r="AK471" s="2"/>
      <c r="AL471" s="2"/>
      <c r="AM471" s="2"/>
      <c r="AN471" s="2"/>
      <c r="AO471" s="2"/>
    </row>
    <row r="472" spans="22:41" x14ac:dyDescent="0.35">
      <c r="V472" s="77"/>
      <c r="W472" s="77"/>
      <c r="X472" s="77"/>
      <c r="Y472" s="77"/>
      <c r="Z472" s="77"/>
      <c r="AA472" s="77"/>
      <c r="AB472" s="77"/>
      <c r="AC472" s="77"/>
      <c r="AD472" s="77"/>
      <c r="AF472" s="79"/>
      <c r="AG472" s="2"/>
      <c r="AH472" s="2"/>
      <c r="AI472" s="2"/>
      <c r="AJ472" s="2"/>
      <c r="AK472" s="2"/>
      <c r="AL472" s="2"/>
      <c r="AM472" s="2"/>
      <c r="AN472" s="2"/>
      <c r="AO472" s="2"/>
    </row>
    <row r="473" spans="22:41" x14ac:dyDescent="0.35">
      <c r="V473" s="77"/>
      <c r="W473" s="77"/>
      <c r="X473" s="77"/>
      <c r="Y473" s="77"/>
      <c r="Z473" s="77"/>
      <c r="AA473" s="77"/>
      <c r="AB473" s="77"/>
      <c r="AC473" s="77"/>
      <c r="AD473" s="77"/>
      <c r="AF473" s="79"/>
      <c r="AG473" s="2"/>
      <c r="AH473" s="2"/>
      <c r="AI473" s="2"/>
      <c r="AJ473" s="2"/>
      <c r="AK473" s="2"/>
      <c r="AL473" s="2"/>
      <c r="AM473" s="2"/>
      <c r="AN473" s="2"/>
      <c r="AO473" s="2"/>
    </row>
    <row r="474" spans="22:41" x14ac:dyDescent="0.35">
      <c r="V474" s="77"/>
      <c r="W474" s="77"/>
      <c r="X474" s="77"/>
      <c r="Y474" s="77"/>
      <c r="Z474" s="77"/>
      <c r="AA474" s="77"/>
      <c r="AB474" s="77"/>
      <c r="AC474" s="77"/>
      <c r="AD474" s="77"/>
      <c r="AF474" s="79"/>
      <c r="AG474" s="2"/>
      <c r="AH474" s="2"/>
      <c r="AI474" s="2"/>
      <c r="AJ474" s="2"/>
      <c r="AK474" s="2"/>
      <c r="AL474" s="2"/>
      <c r="AM474" s="2"/>
      <c r="AN474" s="2"/>
      <c r="AO474" s="2"/>
    </row>
    <row r="475" spans="22:41" x14ac:dyDescent="0.35">
      <c r="V475" s="77"/>
      <c r="W475" s="77"/>
      <c r="X475" s="77"/>
      <c r="Y475" s="77"/>
      <c r="Z475" s="77"/>
      <c r="AA475" s="77"/>
      <c r="AB475" s="77"/>
      <c r="AC475" s="77"/>
      <c r="AD475" s="77"/>
      <c r="AF475" s="79"/>
      <c r="AG475" s="2"/>
      <c r="AH475" s="2"/>
      <c r="AI475" s="2"/>
      <c r="AJ475" s="2"/>
      <c r="AK475" s="2"/>
      <c r="AL475" s="2"/>
      <c r="AM475" s="2"/>
      <c r="AN475" s="2"/>
      <c r="AO475" s="2"/>
    </row>
    <row r="476" spans="22:41" x14ac:dyDescent="0.35">
      <c r="V476" s="77"/>
      <c r="W476" s="77"/>
      <c r="X476" s="77"/>
      <c r="Y476" s="77"/>
      <c r="Z476" s="77"/>
      <c r="AA476" s="77"/>
      <c r="AB476" s="77"/>
      <c r="AC476" s="77"/>
      <c r="AD476" s="77"/>
      <c r="AF476" s="79"/>
      <c r="AG476" s="2"/>
      <c r="AH476" s="2"/>
      <c r="AI476" s="2"/>
      <c r="AJ476" s="2"/>
      <c r="AK476" s="2"/>
      <c r="AL476" s="2"/>
      <c r="AM476" s="2"/>
      <c r="AN476" s="2"/>
      <c r="AO476" s="2"/>
    </row>
    <row r="477" spans="22:41" x14ac:dyDescent="0.35">
      <c r="V477" s="77"/>
      <c r="W477" s="77"/>
      <c r="X477" s="77"/>
      <c r="Y477" s="77"/>
      <c r="Z477" s="77"/>
      <c r="AA477" s="77"/>
      <c r="AB477" s="77"/>
      <c r="AC477" s="77"/>
      <c r="AD477" s="77"/>
      <c r="AF477" s="79"/>
      <c r="AG477" s="2"/>
      <c r="AH477" s="2"/>
      <c r="AI477" s="2"/>
      <c r="AJ477" s="2"/>
      <c r="AK477" s="2"/>
      <c r="AL477" s="2"/>
      <c r="AM477" s="2"/>
      <c r="AN477" s="2"/>
      <c r="AO477" s="2"/>
    </row>
    <row r="478" spans="22:41" x14ac:dyDescent="0.35">
      <c r="V478" s="77"/>
      <c r="W478" s="77"/>
      <c r="X478" s="77"/>
      <c r="Y478" s="77"/>
      <c r="Z478" s="77"/>
      <c r="AA478" s="77"/>
      <c r="AB478" s="77"/>
      <c r="AC478" s="77"/>
      <c r="AD478" s="77"/>
      <c r="AF478" s="79"/>
      <c r="AG478" s="2"/>
      <c r="AH478" s="2"/>
      <c r="AI478" s="2"/>
      <c r="AJ478" s="2"/>
      <c r="AK478" s="2"/>
      <c r="AL478" s="2"/>
      <c r="AM478" s="2"/>
      <c r="AN478" s="2"/>
      <c r="AO478" s="2"/>
    </row>
    <row r="479" spans="22:41" x14ac:dyDescent="0.35">
      <c r="V479" s="77"/>
      <c r="W479" s="77"/>
      <c r="X479" s="77"/>
      <c r="Y479" s="77"/>
      <c r="Z479" s="77"/>
      <c r="AA479" s="77"/>
      <c r="AB479" s="77"/>
      <c r="AC479" s="77"/>
      <c r="AD479" s="77"/>
      <c r="AF479" s="79"/>
      <c r="AG479" s="2"/>
      <c r="AH479" s="2"/>
      <c r="AI479" s="2"/>
      <c r="AJ479" s="2"/>
      <c r="AK479" s="2"/>
      <c r="AL479" s="2"/>
      <c r="AM479" s="2"/>
      <c r="AN479" s="2"/>
      <c r="AO479" s="2"/>
    </row>
    <row r="480" spans="22:41" x14ac:dyDescent="0.35">
      <c r="V480" s="77"/>
      <c r="W480" s="77"/>
      <c r="X480" s="77"/>
      <c r="Y480" s="77"/>
      <c r="Z480" s="77"/>
      <c r="AA480" s="77"/>
      <c r="AB480" s="77"/>
      <c r="AC480" s="77"/>
      <c r="AD480" s="77"/>
      <c r="AF480" s="79"/>
      <c r="AG480" s="2"/>
      <c r="AH480" s="2"/>
      <c r="AI480" s="2"/>
      <c r="AJ480" s="2"/>
      <c r="AK480" s="2"/>
      <c r="AL480" s="2"/>
      <c r="AM480" s="2"/>
      <c r="AN480" s="2"/>
      <c r="AO480" s="2"/>
    </row>
    <row r="481" spans="22:41" x14ac:dyDescent="0.35">
      <c r="V481" s="77"/>
      <c r="W481" s="77"/>
      <c r="X481" s="77"/>
      <c r="Y481" s="77"/>
      <c r="Z481" s="77"/>
      <c r="AA481" s="77"/>
      <c r="AB481" s="77"/>
      <c r="AC481" s="77"/>
      <c r="AD481" s="77"/>
      <c r="AF481" s="79"/>
      <c r="AG481" s="2"/>
      <c r="AH481" s="2"/>
      <c r="AI481" s="2"/>
      <c r="AJ481" s="2"/>
      <c r="AK481" s="2"/>
      <c r="AL481" s="2"/>
      <c r="AM481" s="2"/>
      <c r="AN481" s="2"/>
      <c r="AO481" s="2"/>
    </row>
    <row r="482" spans="22:41" x14ac:dyDescent="0.35">
      <c r="V482" s="77"/>
      <c r="W482" s="77"/>
      <c r="X482" s="77"/>
      <c r="Y482" s="77"/>
      <c r="Z482" s="77"/>
      <c r="AA482" s="77"/>
      <c r="AB482" s="77"/>
      <c r="AC482" s="77"/>
      <c r="AD482" s="77"/>
      <c r="AF482" s="79"/>
      <c r="AG482" s="2"/>
      <c r="AH482" s="2"/>
      <c r="AI482" s="2"/>
      <c r="AJ482" s="2"/>
      <c r="AK482" s="2"/>
      <c r="AL482" s="2"/>
      <c r="AM482" s="2"/>
      <c r="AN482" s="2"/>
      <c r="AO482" s="2"/>
    </row>
    <row r="483" spans="22:41" x14ac:dyDescent="0.35">
      <c r="V483" s="77"/>
      <c r="W483" s="77"/>
      <c r="X483" s="77"/>
      <c r="Y483" s="77"/>
      <c r="Z483" s="77"/>
      <c r="AA483" s="77"/>
      <c r="AB483" s="77"/>
      <c r="AC483" s="77"/>
      <c r="AD483" s="77"/>
      <c r="AF483" s="79"/>
      <c r="AG483" s="2"/>
      <c r="AH483" s="2"/>
      <c r="AI483" s="2"/>
      <c r="AJ483" s="2"/>
      <c r="AK483" s="2"/>
      <c r="AL483" s="2"/>
      <c r="AM483" s="2"/>
      <c r="AN483" s="2"/>
      <c r="AO483" s="2"/>
    </row>
    <row r="484" spans="22:41" x14ac:dyDescent="0.35">
      <c r="V484" s="77"/>
      <c r="W484" s="77"/>
      <c r="X484" s="77"/>
      <c r="Y484" s="77"/>
      <c r="Z484" s="77"/>
      <c r="AA484" s="77"/>
      <c r="AB484" s="77"/>
      <c r="AC484" s="77"/>
      <c r="AD484" s="77"/>
      <c r="AF484" s="79"/>
      <c r="AG484" s="2"/>
      <c r="AH484" s="2"/>
      <c r="AI484" s="2"/>
      <c r="AJ484" s="2"/>
      <c r="AK484" s="2"/>
      <c r="AL484" s="2"/>
      <c r="AM484" s="2"/>
      <c r="AN484" s="2"/>
      <c r="AO484" s="2"/>
    </row>
    <row r="485" spans="22:41" x14ac:dyDescent="0.35">
      <c r="V485" s="77"/>
      <c r="W485" s="77"/>
      <c r="X485" s="77"/>
      <c r="Y485" s="77"/>
      <c r="Z485" s="77"/>
      <c r="AA485" s="77"/>
      <c r="AB485" s="77"/>
      <c r="AC485" s="77"/>
      <c r="AD485" s="77"/>
      <c r="AF485" s="79"/>
      <c r="AG485" s="2"/>
      <c r="AH485" s="2"/>
      <c r="AI485" s="2"/>
      <c r="AJ485" s="2"/>
      <c r="AK485" s="2"/>
      <c r="AL485" s="2"/>
      <c r="AM485" s="2"/>
      <c r="AN485" s="2"/>
      <c r="AO485" s="2"/>
    </row>
    <row r="486" spans="22:41" x14ac:dyDescent="0.35">
      <c r="V486" s="77"/>
      <c r="W486" s="77"/>
      <c r="X486" s="77"/>
      <c r="Y486" s="77"/>
      <c r="Z486" s="77"/>
      <c r="AA486" s="77"/>
      <c r="AB486" s="77"/>
      <c r="AC486" s="77"/>
      <c r="AD486" s="77"/>
      <c r="AF486" s="79"/>
      <c r="AG486" s="2"/>
      <c r="AH486" s="2"/>
      <c r="AI486" s="2"/>
      <c r="AJ486" s="2"/>
      <c r="AK486" s="2"/>
      <c r="AL486" s="2"/>
      <c r="AM486" s="2"/>
      <c r="AN486" s="2"/>
      <c r="AO486" s="2"/>
    </row>
    <row r="487" spans="22:41" x14ac:dyDescent="0.35">
      <c r="V487" s="77"/>
      <c r="W487" s="77"/>
      <c r="X487" s="77"/>
      <c r="Y487" s="77"/>
      <c r="Z487" s="77"/>
      <c r="AA487" s="77"/>
      <c r="AB487" s="77"/>
      <c r="AC487" s="77"/>
      <c r="AD487" s="77"/>
      <c r="AF487" s="79"/>
      <c r="AG487" s="2"/>
      <c r="AH487" s="2"/>
      <c r="AI487" s="2"/>
      <c r="AJ487" s="2"/>
      <c r="AK487" s="2"/>
      <c r="AL487" s="2"/>
      <c r="AM487" s="2"/>
      <c r="AN487" s="2"/>
      <c r="AO487" s="2"/>
    </row>
    <row r="488" spans="22:41" x14ac:dyDescent="0.35">
      <c r="V488" s="77"/>
      <c r="W488" s="77"/>
      <c r="X488" s="77"/>
      <c r="Y488" s="77"/>
      <c r="Z488" s="77"/>
      <c r="AA488" s="77"/>
      <c r="AB488" s="77"/>
      <c r="AC488" s="77"/>
      <c r="AD488" s="77"/>
      <c r="AF488" s="79"/>
      <c r="AG488" s="2"/>
      <c r="AH488" s="2"/>
      <c r="AI488" s="2"/>
      <c r="AJ488" s="2"/>
      <c r="AK488" s="2"/>
      <c r="AL488" s="2"/>
      <c r="AM488" s="2"/>
      <c r="AN488" s="2"/>
      <c r="AO488" s="2"/>
    </row>
    <row r="489" spans="22:41" x14ac:dyDescent="0.35">
      <c r="V489" s="77"/>
      <c r="W489" s="77"/>
      <c r="X489" s="77"/>
      <c r="Y489" s="77"/>
      <c r="Z489" s="77"/>
      <c r="AA489" s="77"/>
      <c r="AB489" s="77"/>
      <c r="AC489" s="77"/>
      <c r="AD489" s="77"/>
      <c r="AF489" s="79"/>
      <c r="AG489" s="2"/>
      <c r="AH489" s="2"/>
      <c r="AI489" s="2"/>
      <c r="AJ489" s="2"/>
      <c r="AK489" s="2"/>
      <c r="AL489" s="2"/>
      <c r="AM489" s="2"/>
      <c r="AN489" s="2"/>
      <c r="AO489" s="2"/>
    </row>
    <row r="490" spans="22:41" x14ac:dyDescent="0.35">
      <c r="V490" s="77"/>
      <c r="W490" s="77"/>
      <c r="X490" s="77"/>
      <c r="Y490" s="77"/>
      <c r="Z490" s="77"/>
      <c r="AA490" s="77"/>
      <c r="AB490" s="77"/>
      <c r="AC490" s="77"/>
      <c r="AD490" s="77"/>
      <c r="AF490" s="79"/>
      <c r="AG490" s="2"/>
      <c r="AH490" s="2"/>
      <c r="AI490" s="2"/>
      <c r="AJ490" s="2"/>
      <c r="AK490" s="2"/>
      <c r="AL490" s="2"/>
      <c r="AM490" s="2"/>
      <c r="AN490" s="2"/>
      <c r="AO490" s="2"/>
    </row>
    <row r="491" spans="22:41" x14ac:dyDescent="0.35">
      <c r="V491" s="77"/>
      <c r="W491" s="77"/>
      <c r="X491" s="77"/>
      <c r="Y491" s="77"/>
      <c r="Z491" s="77"/>
      <c r="AA491" s="77"/>
      <c r="AB491" s="77"/>
      <c r="AC491" s="77"/>
      <c r="AD491" s="77"/>
      <c r="AF491" s="79"/>
      <c r="AG491" s="2"/>
      <c r="AH491" s="2"/>
      <c r="AI491" s="2"/>
      <c r="AJ491" s="2"/>
      <c r="AK491" s="2"/>
      <c r="AL491" s="2"/>
      <c r="AM491" s="2"/>
      <c r="AN491" s="2"/>
      <c r="AO491" s="2"/>
    </row>
    <row r="492" spans="22:41" x14ac:dyDescent="0.35">
      <c r="V492" s="77"/>
      <c r="W492" s="77"/>
      <c r="X492" s="77"/>
      <c r="Y492" s="77"/>
      <c r="Z492" s="77"/>
      <c r="AA492" s="77"/>
      <c r="AB492" s="77"/>
      <c r="AC492" s="77"/>
      <c r="AD492" s="77"/>
      <c r="AF492" s="79"/>
      <c r="AG492" s="2"/>
      <c r="AH492" s="2"/>
      <c r="AI492" s="2"/>
      <c r="AJ492" s="2"/>
      <c r="AK492" s="2"/>
      <c r="AL492" s="2"/>
      <c r="AM492" s="2"/>
      <c r="AN492" s="2"/>
      <c r="AO492" s="2"/>
    </row>
    <row r="493" spans="22:41" x14ac:dyDescent="0.35">
      <c r="V493" s="77"/>
      <c r="W493" s="77"/>
      <c r="X493" s="77"/>
      <c r="Y493" s="77"/>
      <c r="Z493" s="77"/>
      <c r="AA493" s="77"/>
      <c r="AB493" s="77"/>
      <c r="AC493" s="77"/>
      <c r="AD493" s="77"/>
      <c r="AF493" s="79"/>
      <c r="AG493" s="2"/>
      <c r="AH493" s="2"/>
      <c r="AI493" s="2"/>
      <c r="AJ493" s="2"/>
      <c r="AK493" s="2"/>
      <c r="AL493" s="2"/>
      <c r="AM493" s="2"/>
      <c r="AN493" s="2"/>
      <c r="AO493" s="2"/>
    </row>
    <row r="494" spans="22:41" x14ac:dyDescent="0.35">
      <c r="V494" s="77"/>
      <c r="W494" s="77"/>
      <c r="X494" s="77"/>
      <c r="Y494" s="77"/>
      <c r="Z494" s="77"/>
      <c r="AA494" s="77"/>
      <c r="AB494" s="77"/>
      <c r="AC494" s="77"/>
      <c r="AD494" s="77"/>
      <c r="AF494" s="79"/>
      <c r="AG494" s="2"/>
      <c r="AH494" s="2"/>
      <c r="AI494" s="2"/>
      <c r="AJ494" s="2"/>
      <c r="AK494" s="2"/>
      <c r="AL494" s="2"/>
      <c r="AM494" s="2"/>
      <c r="AN494" s="2"/>
      <c r="AO494" s="2"/>
    </row>
    <row r="495" spans="22:41" x14ac:dyDescent="0.35">
      <c r="V495" s="77"/>
      <c r="W495" s="77"/>
      <c r="X495" s="77"/>
      <c r="Y495" s="77"/>
      <c r="Z495" s="77"/>
      <c r="AA495" s="77"/>
      <c r="AB495" s="77"/>
      <c r="AC495" s="77"/>
      <c r="AD495" s="77"/>
      <c r="AF495" s="79"/>
      <c r="AG495" s="2"/>
      <c r="AH495" s="2"/>
      <c r="AI495" s="2"/>
      <c r="AJ495" s="2"/>
      <c r="AK495" s="2"/>
      <c r="AL495" s="2"/>
      <c r="AM495" s="2"/>
      <c r="AN495" s="2"/>
      <c r="AO495" s="2"/>
    </row>
    <row r="496" spans="22:41" x14ac:dyDescent="0.35">
      <c r="V496" s="77"/>
      <c r="W496" s="77"/>
      <c r="X496" s="77"/>
      <c r="Y496" s="77"/>
      <c r="Z496" s="77"/>
      <c r="AA496" s="77"/>
      <c r="AB496" s="77"/>
      <c r="AC496" s="77"/>
      <c r="AD496" s="77"/>
      <c r="AF496" s="79"/>
      <c r="AG496" s="2"/>
      <c r="AH496" s="2"/>
      <c r="AI496" s="2"/>
      <c r="AJ496" s="2"/>
      <c r="AK496" s="2"/>
      <c r="AL496" s="2"/>
      <c r="AM496" s="2"/>
      <c r="AN496" s="2"/>
      <c r="AO496" s="2"/>
    </row>
    <row r="497" spans="22:41" x14ac:dyDescent="0.35">
      <c r="V497" s="77"/>
      <c r="W497" s="77"/>
      <c r="X497" s="77"/>
      <c r="Y497" s="77"/>
      <c r="Z497" s="77"/>
      <c r="AA497" s="77"/>
      <c r="AB497" s="77"/>
      <c r="AC497" s="77"/>
      <c r="AD497" s="77"/>
      <c r="AF497" s="79"/>
      <c r="AG497" s="2"/>
      <c r="AH497" s="2"/>
      <c r="AI497" s="2"/>
      <c r="AJ497" s="2"/>
      <c r="AK497" s="2"/>
      <c r="AL497" s="2"/>
      <c r="AM497" s="2"/>
      <c r="AN497" s="2"/>
      <c r="AO497" s="2"/>
    </row>
    <row r="498" spans="22:41" x14ac:dyDescent="0.35">
      <c r="V498" s="77"/>
      <c r="W498" s="77"/>
      <c r="X498" s="77"/>
      <c r="Y498" s="77"/>
      <c r="Z498" s="77"/>
      <c r="AA498" s="77"/>
      <c r="AB498" s="77"/>
      <c r="AC498" s="77"/>
      <c r="AD498" s="77"/>
      <c r="AF498" s="79"/>
      <c r="AG498" s="2"/>
      <c r="AH498" s="2"/>
      <c r="AI498" s="2"/>
      <c r="AJ498" s="2"/>
      <c r="AK498" s="2"/>
      <c r="AL498" s="2"/>
      <c r="AM498" s="2"/>
      <c r="AN498" s="2"/>
      <c r="AO498" s="2"/>
    </row>
    <row r="499" spans="22:41" x14ac:dyDescent="0.35">
      <c r="V499" s="77"/>
      <c r="W499" s="77"/>
      <c r="X499" s="77"/>
      <c r="Y499" s="77"/>
      <c r="Z499" s="77"/>
      <c r="AA499" s="77"/>
      <c r="AB499" s="77"/>
      <c r="AC499" s="77"/>
      <c r="AD499" s="77"/>
      <c r="AF499" s="79"/>
      <c r="AG499" s="2"/>
      <c r="AH499" s="2"/>
      <c r="AI499" s="2"/>
      <c r="AJ499" s="2"/>
      <c r="AK499" s="2"/>
      <c r="AL499" s="2"/>
      <c r="AM499" s="2"/>
      <c r="AN499" s="2"/>
      <c r="AO499" s="2"/>
    </row>
    <row r="500" spans="22:41" x14ac:dyDescent="0.35">
      <c r="V500" s="77"/>
      <c r="W500" s="77"/>
      <c r="X500" s="77"/>
      <c r="Y500" s="77"/>
      <c r="Z500" s="77"/>
      <c r="AA500" s="77"/>
      <c r="AB500" s="77"/>
      <c r="AC500" s="77"/>
      <c r="AD500" s="77"/>
      <c r="AF500" s="79"/>
      <c r="AG500" s="2"/>
      <c r="AH500" s="2"/>
      <c r="AI500" s="2"/>
      <c r="AJ500" s="2"/>
      <c r="AK500" s="2"/>
      <c r="AL500" s="2"/>
      <c r="AM500" s="2"/>
      <c r="AN500" s="2"/>
      <c r="AO500" s="2"/>
    </row>
    <row r="501" spans="22:41" x14ac:dyDescent="0.35">
      <c r="V501" s="77"/>
      <c r="W501" s="77"/>
      <c r="X501" s="77"/>
      <c r="Y501" s="77"/>
      <c r="Z501" s="77"/>
      <c r="AA501" s="77"/>
      <c r="AB501" s="77"/>
      <c r="AC501" s="77"/>
      <c r="AD501" s="77"/>
      <c r="AF501" s="79"/>
      <c r="AG501" s="2"/>
      <c r="AH501" s="2"/>
      <c r="AI501" s="2"/>
      <c r="AJ501" s="2"/>
      <c r="AK501" s="2"/>
      <c r="AL501" s="2"/>
      <c r="AM501" s="2"/>
      <c r="AN501" s="2"/>
      <c r="AO501" s="2"/>
    </row>
    <row r="502" spans="22:41" x14ac:dyDescent="0.35">
      <c r="V502" s="77"/>
      <c r="W502" s="77"/>
      <c r="X502" s="77"/>
      <c r="Y502" s="77"/>
      <c r="Z502" s="77"/>
      <c r="AA502" s="77"/>
      <c r="AB502" s="77"/>
      <c r="AC502" s="77"/>
      <c r="AD502" s="77"/>
      <c r="AF502" s="79"/>
      <c r="AG502" s="2"/>
      <c r="AH502" s="2"/>
      <c r="AI502" s="2"/>
      <c r="AJ502" s="2"/>
      <c r="AK502" s="2"/>
      <c r="AL502" s="2"/>
      <c r="AM502" s="2"/>
      <c r="AN502" s="2"/>
      <c r="AO502" s="2"/>
    </row>
    <row r="503" spans="22:41" x14ac:dyDescent="0.35">
      <c r="V503" s="77"/>
      <c r="W503" s="77"/>
      <c r="X503" s="77"/>
      <c r="Y503" s="77"/>
      <c r="Z503" s="77"/>
      <c r="AA503" s="77"/>
      <c r="AB503" s="77"/>
      <c r="AC503" s="77"/>
      <c r="AD503" s="77"/>
      <c r="AF503" s="79"/>
      <c r="AG503" s="2"/>
      <c r="AH503" s="2"/>
      <c r="AI503" s="2"/>
      <c r="AJ503" s="2"/>
      <c r="AK503" s="2"/>
      <c r="AL503" s="2"/>
      <c r="AM503" s="2"/>
      <c r="AN503" s="2"/>
      <c r="AO503" s="2"/>
    </row>
    <row r="504" spans="22:41" x14ac:dyDescent="0.35">
      <c r="V504" s="77"/>
      <c r="W504" s="77"/>
      <c r="X504" s="77"/>
      <c r="Y504" s="77"/>
      <c r="Z504" s="77"/>
      <c r="AA504" s="77"/>
      <c r="AB504" s="77"/>
      <c r="AC504" s="77"/>
      <c r="AD504" s="77"/>
    </row>
    <row r="505" spans="22:41" x14ac:dyDescent="0.35">
      <c r="V505" s="77"/>
      <c r="W505" s="77"/>
      <c r="X505" s="77"/>
      <c r="Y505" s="77"/>
      <c r="Z505" s="77"/>
      <c r="AA505" s="77"/>
      <c r="AB505" s="77"/>
      <c r="AC505" s="77"/>
      <c r="AD505" s="77"/>
    </row>
    <row r="506" spans="22:41" x14ac:dyDescent="0.35">
      <c r="V506" s="77"/>
      <c r="W506" s="77"/>
      <c r="X506" s="77"/>
      <c r="Y506" s="77"/>
      <c r="Z506" s="77"/>
      <c r="AA506" s="77"/>
      <c r="AB506" s="77"/>
      <c r="AC506" s="77"/>
      <c r="AD506" s="77"/>
    </row>
    <row r="507" spans="22:41" x14ac:dyDescent="0.35">
      <c r="V507" s="77"/>
      <c r="W507" s="77"/>
      <c r="X507" s="77"/>
      <c r="Y507" s="77"/>
      <c r="Z507" s="77"/>
      <c r="AA507" s="77"/>
      <c r="AB507" s="77"/>
      <c r="AC507" s="77"/>
      <c r="AD507" s="77"/>
    </row>
    <row r="508" spans="22:41" x14ac:dyDescent="0.35">
      <c r="V508" s="77"/>
      <c r="W508" s="77"/>
      <c r="X508" s="77"/>
      <c r="Y508" s="77"/>
      <c r="Z508" s="77"/>
      <c r="AA508" s="77"/>
      <c r="AB508" s="77"/>
      <c r="AC508" s="77"/>
      <c r="AD508" s="77"/>
    </row>
    <row r="509" spans="22:41" x14ac:dyDescent="0.35">
      <c r="V509" s="77"/>
      <c r="W509" s="77"/>
      <c r="X509" s="77"/>
      <c r="Y509" s="77"/>
      <c r="Z509" s="77"/>
      <c r="AA509" s="77"/>
      <c r="AB509" s="77"/>
      <c r="AC509" s="77"/>
      <c r="AD509" s="77"/>
    </row>
    <row r="510" spans="22:41" x14ac:dyDescent="0.35">
      <c r="V510" s="77"/>
      <c r="W510" s="77"/>
      <c r="X510" s="77"/>
      <c r="Y510" s="77"/>
      <c r="Z510" s="77"/>
      <c r="AA510" s="77"/>
      <c r="AB510" s="77"/>
      <c r="AC510" s="77"/>
      <c r="AD510" s="77"/>
    </row>
    <row r="511" spans="22:41" x14ac:dyDescent="0.35">
      <c r="V511" s="77"/>
      <c r="W511" s="77"/>
      <c r="X511" s="77"/>
      <c r="Y511" s="77"/>
      <c r="Z511" s="77"/>
      <c r="AA511" s="77"/>
      <c r="AB511" s="77"/>
      <c r="AC511" s="77"/>
      <c r="AD511" s="77"/>
    </row>
    <row r="512" spans="22:41" x14ac:dyDescent="0.35">
      <c r="V512" s="77"/>
      <c r="W512" s="77"/>
      <c r="X512" s="77"/>
      <c r="Y512" s="77"/>
      <c r="Z512" s="77"/>
      <c r="AA512" s="77"/>
      <c r="AB512" s="77"/>
      <c r="AC512" s="77"/>
      <c r="AD512" s="77"/>
    </row>
    <row r="513" spans="22:30" x14ac:dyDescent="0.35">
      <c r="V513" s="77"/>
      <c r="W513" s="77"/>
      <c r="X513" s="77"/>
      <c r="Y513" s="77"/>
      <c r="Z513" s="77"/>
      <c r="AA513" s="77"/>
      <c r="AB513" s="77"/>
      <c r="AC513" s="77"/>
      <c r="AD513" s="77"/>
    </row>
    <row r="514" spans="22:30" x14ac:dyDescent="0.35">
      <c r="V514" s="77"/>
      <c r="W514" s="77"/>
      <c r="X514" s="77"/>
      <c r="Y514" s="77"/>
      <c r="Z514" s="77"/>
      <c r="AA514" s="77"/>
      <c r="AB514" s="77"/>
      <c r="AC514" s="77"/>
      <c r="AD514" s="77"/>
    </row>
    <row r="515" spans="22:30" x14ac:dyDescent="0.35">
      <c r="V515" s="77"/>
      <c r="W515" s="77"/>
      <c r="X515" s="77"/>
      <c r="Y515" s="77"/>
      <c r="Z515" s="77"/>
      <c r="AA515" s="77"/>
      <c r="AB515" s="77"/>
      <c r="AC515" s="77"/>
      <c r="AD515" s="77"/>
    </row>
    <row r="516" spans="22:30" x14ac:dyDescent="0.35">
      <c r="V516" s="77"/>
      <c r="W516" s="77"/>
      <c r="X516" s="77"/>
      <c r="Y516" s="77"/>
      <c r="Z516" s="77"/>
      <c r="AA516" s="77"/>
      <c r="AB516" s="77"/>
      <c r="AC516" s="77"/>
      <c r="AD516" s="77"/>
    </row>
    <row r="517" spans="22:30" x14ac:dyDescent="0.35">
      <c r="V517" s="77"/>
      <c r="W517" s="77"/>
      <c r="X517" s="77"/>
      <c r="Y517" s="77"/>
      <c r="Z517" s="77"/>
      <c r="AA517" s="77"/>
      <c r="AB517" s="77"/>
      <c r="AC517" s="77"/>
      <c r="AD517" s="77"/>
    </row>
    <row r="518" spans="22:30" x14ac:dyDescent="0.35">
      <c r="V518" s="77"/>
      <c r="W518" s="77"/>
      <c r="X518" s="77"/>
      <c r="Y518" s="77"/>
      <c r="Z518" s="77"/>
      <c r="AA518" s="77"/>
      <c r="AB518" s="77"/>
      <c r="AC518" s="77"/>
      <c r="AD518" s="77"/>
    </row>
    <row r="519" spans="22:30" x14ac:dyDescent="0.35">
      <c r="V519" s="77"/>
      <c r="W519" s="77"/>
      <c r="X519" s="77"/>
      <c r="Y519" s="77"/>
      <c r="Z519" s="77"/>
      <c r="AA519" s="77"/>
      <c r="AB519" s="77"/>
      <c r="AC519" s="77"/>
      <c r="AD519" s="77"/>
    </row>
    <row r="520" spans="22:30" x14ac:dyDescent="0.35">
      <c r="V520" s="77"/>
      <c r="W520" s="77"/>
      <c r="X520" s="77"/>
      <c r="Y520" s="77"/>
      <c r="Z520" s="77"/>
      <c r="AA520" s="77"/>
      <c r="AB520" s="77"/>
      <c r="AC520" s="77"/>
      <c r="AD520" s="77"/>
    </row>
    <row r="521" spans="22:30" x14ac:dyDescent="0.35">
      <c r="V521" s="77"/>
      <c r="W521" s="77"/>
      <c r="X521" s="77"/>
      <c r="Y521" s="77"/>
      <c r="Z521" s="77"/>
      <c r="AA521" s="77"/>
      <c r="AB521" s="77"/>
      <c r="AC521" s="77"/>
      <c r="AD521" s="77"/>
    </row>
    <row r="522" spans="22:30" x14ac:dyDescent="0.35">
      <c r="V522" s="77"/>
      <c r="W522" s="77"/>
      <c r="X522" s="77"/>
      <c r="Y522" s="77"/>
      <c r="Z522" s="77"/>
      <c r="AA522" s="77"/>
      <c r="AB522" s="77"/>
      <c r="AC522" s="77"/>
      <c r="AD522" s="77"/>
    </row>
    <row r="523" spans="22:30" x14ac:dyDescent="0.35">
      <c r="V523" s="77"/>
      <c r="W523" s="77"/>
      <c r="X523" s="77"/>
      <c r="Y523" s="77"/>
      <c r="Z523" s="77"/>
      <c r="AA523" s="77"/>
      <c r="AB523" s="77"/>
      <c r="AC523" s="77"/>
      <c r="AD523" s="77"/>
    </row>
    <row r="524" spans="22:30" x14ac:dyDescent="0.35">
      <c r="V524" s="77"/>
      <c r="W524" s="77"/>
      <c r="X524" s="77"/>
      <c r="Y524" s="77"/>
      <c r="Z524" s="77"/>
      <c r="AA524" s="77"/>
      <c r="AB524" s="77"/>
      <c r="AC524" s="77"/>
      <c r="AD524" s="77"/>
    </row>
    <row r="525" spans="22:30" x14ac:dyDescent="0.35">
      <c r="V525" s="77"/>
      <c r="W525" s="77"/>
      <c r="X525" s="77"/>
      <c r="Y525" s="77"/>
      <c r="Z525" s="77"/>
      <c r="AA525" s="77"/>
      <c r="AB525" s="77"/>
      <c r="AC525" s="77"/>
      <c r="AD525" s="77"/>
    </row>
    <row r="526" spans="22:30" x14ac:dyDescent="0.35">
      <c r="V526" s="77"/>
      <c r="W526" s="77"/>
      <c r="X526" s="77"/>
      <c r="Y526" s="77"/>
      <c r="Z526" s="77"/>
      <c r="AA526" s="77"/>
      <c r="AB526" s="77"/>
      <c r="AC526" s="77"/>
      <c r="AD526" s="77"/>
    </row>
    <row r="527" spans="22:30" x14ac:dyDescent="0.35">
      <c r="V527" s="77"/>
      <c r="W527" s="77"/>
      <c r="X527" s="77"/>
      <c r="Y527" s="77"/>
      <c r="Z527" s="77"/>
      <c r="AA527" s="77"/>
      <c r="AB527" s="77"/>
      <c r="AC527" s="77"/>
      <c r="AD527" s="77"/>
    </row>
    <row r="528" spans="22:30" x14ac:dyDescent="0.35">
      <c r="V528" s="77"/>
      <c r="W528" s="77"/>
      <c r="X528" s="77"/>
      <c r="Y528" s="77"/>
      <c r="Z528" s="77"/>
      <c r="AA528" s="77"/>
      <c r="AB528" s="77"/>
      <c r="AC528" s="77"/>
      <c r="AD528" s="77"/>
    </row>
    <row r="529" spans="22:30" x14ac:dyDescent="0.35">
      <c r="V529" s="77"/>
      <c r="W529" s="77"/>
      <c r="X529" s="77"/>
      <c r="Y529" s="77"/>
      <c r="Z529" s="77"/>
      <c r="AA529" s="77"/>
      <c r="AB529" s="77"/>
      <c r="AC529" s="77"/>
      <c r="AD529" s="77"/>
    </row>
    <row r="530" spans="22:30" x14ac:dyDescent="0.35">
      <c r="V530" s="77"/>
      <c r="W530" s="77"/>
      <c r="X530" s="77"/>
      <c r="Y530" s="77"/>
      <c r="Z530" s="77"/>
      <c r="AA530" s="77"/>
      <c r="AB530" s="77"/>
      <c r="AC530" s="77"/>
      <c r="AD530" s="77"/>
    </row>
    <row r="531" spans="22:30" x14ac:dyDescent="0.35">
      <c r="V531" s="77"/>
      <c r="W531" s="77"/>
      <c r="X531" s="77"/>
      <c r="Y531" s="77"/>
      <c r="Z531" s="77"/>
      <c r="AA531" s="77"/>
      <c r="AB531" s="77"/>
      <c r="AC531" s="77"/>
      <c r="AD531" s="77"/>
    </row>
    <row r="532" spans="22:30" x14ac:dyDescent="0.35">
      <c r="V532" s="77"/>
      <c r="W532" s="77"/>
      <c r="X532" s="77"/>
      <c r="Y532" s="77"/>
      <c r="Z532" s="77"/>
      <c r="AA532" s="77"/>
      <c r="AB532" s="77"/>
      <c r="AC532" s="77"/>
      <c r="AD532" s="77"/>
    </row>
    <row r="533" spans="22:30" x14ac:dyDescent="0.35">
      <c r="V533" s="77"/>
      <c r="W533" s="77"/>
      <c r="X533" s="77"/>
      <c r="Y533" s="77"/>
      <c r="Z533" s="77"/>
      <c r="AA533" s="77"/>
      <c r="AB533" s="77"/>
      <c r="AC533" s="77"/>
      <c r="AD533" s="77"/>
    </row>
    <row r="534" spans="22:30" x14ac:dyDescent="0.35">
      <c r="V534" s="77"/>
      <c r="W534" s="77"/>
      <c r="X534" s="77"/>
      <c r="Y534" s="77"/>
      <c r="Z534" s="77"/>
      <c r="AA534" s="77"/>
      <c r="AB534" s="77"/>
      <c r="AC534" s="77"/>
      <c r="AD534" s="77"/>
    </row>
    <row r="535" spans="22:30" x14ac:dyDescent="0.35">
      <c r="V535" s="77"/>
      <c r="W535" s="77"/>
      <c r="X535" s="77"/>
      <c r="Y535" s="77"/>
      <c r="Z535" s="77"/>
      <c r="AA535" s="77"/>
      <c r="AB535" s="77"/>
      <c r="AC535" s="77"/>
      <c r="AD535" s="77"/>
    </row>
    <row r="536" spans="22:30" x14ac:dyDescent="0.35">
      <c r="V536" s="77"/>
      <c r="W536" s="77"/>
      <c r="X536" s="77"/>
      <c r="Y536" s="77"/>
      <c r="Z536" s="77"/>
      <c r="AA536" s="77"/>
      <c r="AB536" s="77"/>
      <c r="AC536" s="77"/>
      <c r="AD536" s="77"/>
    </row>
    <row r="537" spans="22:30" x14ac:dyDescent="0.35">
      <c r="V537" s="77"/>
      <c r="W537" s="77"/>
      <c r="X537" s="77"/>
      <c r="Y537" s="77"/>
      <c r="Z537" s="77"/>
      <c r="AA537" s="77"/>
      <c r="AB537" s="77"/>
      <c r="AC537" s="77"/>
      <c r="AD537" s="77"/>
    </row>
    <row r="538" spans="22:30" x14ac:dyDescent="0.35">
      <c r="V538" s="77"/>
      <c r="W538" s="77"/>
      <c r="X538" s="77"/>
      <c r="Y538" s="77"/>
      <c r="Z538" s="77"/>
      <c r="AA538" s="77"/>
      <c r="AB538" s="77"/>
      <c r="AC538" s="77"/>
      <c r="AD538" s="77"/>
    </row>
    <row r="539" spans="22:30" x14ac:dyDescent="0.35">
      <c r="V539" s="77"/>
      <c r="W539" s="77"/>
      <c r="X539" s="77"/>
      <c r="Y539" s="77"/>
      <c r="Z539" s="77"/>
      <c r="AA539" s="77"/>
      <c r="AB539" s="77"/>
      <c r="AC539" s="77"/>
      <c r="AD539" s="77"/>
    </row>
    <row r="540" spans="22:30" x14ac:dyDescent="0.35">
      <c r="V540" s="77"/>
      <c r="W540" s="77"/>
      <c r="X540" s="77"/>
      <c r="Y540" s="77"/>
      <c r="Z540" s="77"/>
      <c r="AA540" s="77"/>
      <c r="AB540" s="77"/>
      <c r="AC540" s="77"/>
      <c r="AD540" s="77"/>
    </row>
    <row r="541" spans="22:30" x14ac:dyDescent="0.35">
      <c r="V541" s="77"/>
      <c r="W541" s="77"/>
      <c r="X541" s="77"/>
      <c r="Y541" s="77"/>
      <c r="Z541" s="77"/>
      <c r="AA541" s="77"/>
      <c r="AB541" s="77"/>
      <c r="AC541" s="77"/>
      <c r="AD541" s="77"/>
    </row>
    <row r="542" spans="22:30" x14ac:dyDescent="0.35">
      <c r="V542" s="77"/>
      <c r="W542" s="77"/>
      <c r="X542" s="77"/>
      <c r="Y542" s="77"/>
      <c r="Z542" s="77"/>
      <c r="AA542" s="77"/>
      <c r="AB542" s="77"/>
      <c r="AC542" s="77"/>
      <c r="AD542" s="77"/>
    </row>
    <row r="543" spans="22:30" x14ac:dyDescent="0.35">
      <c r="V543" s="77"/>
      <c r="W543" s="77"/>
      <c r="X543" s="77"/>
      <c r="Y543" s="77"/>
      <c r="Z543" s="77"/>
      <c r="AA543" s="77"/>
      <c r="AB543" s="77"/>
      <c r="AC543" s="77"/>
      <c r="AD543" s="77"/>
    </row>
    <row r="544" spans="22:30" x14ac:dyDescent="0.35">
      <c r="V544" s="77"/>
      <c r="W544" s="77"/>
      <c r="X544" s="77"/>
      <c r="Y544" s="77"/>
      <c r="Z544" s="77"/>
      <c r="AA544" s="77"/>
      <c r="AB544" s="77"/>
      <c r="AC544" s="77"/>
      <c r="AD544" s="77"/>
    </row>
    <row r="545" spans="22:30" x14ac:dyDescent="0.35">
      <c r="V545" s="77"/>
      <c r="W545" s="77"/>
      <c r="X545" s="77"/>
      <c r="Y545" s="77"/>
      <c r="Z545" s="77"/>
      <c r="AA545" s="77"/>
      <c r="AB545" s="77"/>
      <c r="AC545" s="77"/>
      <c r="AD545" s="77"/>
    </row>
    <row r="546" spans="22:30" x14ac:dyDescent="0.35">
      <c r="V546" s="77"/>
      <c r="W546" s="77"/>
      <c r="X546" s="77"/>
      <c r="Y546" s="77"/>
      <c r="Z546" s="77"/>
      <c r="AA546" s="77"/>
      <c r="AB546" s="77"/>
      <c r="AC546" s="77"/>
      <c r="AD546" s="77"/>
    </row>
    <row r="547" spans="22:30" x14ac:dyDescent="0.35">
      <c r="V547" s="77"/>
      <c r="W547" s="77"/>
      <c r="X547" s="77"/>
      <c r="Y547" s="77"/>
      <c r="Z547" s="77"/>
      <c r="AA547" s="77"/>
      <c r="AB547" s="77"/>
      <c r="AC547" s="77"/>
      <c r="AD547" s="77"/>
    </row>
    <row r="548" spans="22:30" x14ac:dyDescent="0.35">
      <c r="V548" s="77"/>
      <c r="W548" s="77"/>
      <c r="X548" s="77"/>
      <c r="Y548" s="77"/>
      <c r="Z548" s="77"/>
      <c r="AA548" s="77"/>
      <c r="AB548" s="77"/>
      <c r="AC548" s="77"/>
      <c r="AD548" s="77"/>
    </row>
    <row r="549" spans="22:30" x14ac:dyDescent="0.35">
      <c r="V549" s="77"/>
      <c r="W549" s="77"/>
      <c r="X549" s="77"/>
      <c r="Y549" s="77"/>
      <c r="Z549" s="77"/>
      <c r="AA549" s="77"/>
      <c r="AB549" s="77"/>
      <c r="AC549" s="77"/>
      <c r="AD549" s="77"/>
    </row>
    <row r="550" spans="22:30" x14ac:dyDescent="0.35">
      <c r="V550" s="77"/>
      <c r="W550" s="77"/>
      <c r="X550" s="77"/>
      <c r="Y550" s="77"/>
      <c r="Z550" s="77"/>
      <c r="AA550" s="77"/>
      <c r="AB550" s="77"/>
      <c r="AC550" s="77"/>
      <c r="AD550" s="77"/>
    </row>
    <row r="551" spans="22:30" x14ac:dyDescent="0.35">
      <c r="V551" s="77"/>
      <c r="W551" s="77"/>
      <c r="X551" s="77"/>
      <c r="Y551" s="77"/>
      <c r="Z551" s="77"/>
      <c r="AA551" s="77"/>
      <c r="AB551" s="77"/>
      <c r="AC551" s="77"/>
      <c r="AD551" s="77"/>
    </row>
    <row r="552" spans="22:30" x14ac:dyDescent="0.35">
      <c r="V552" s="77"/>
      <c r="W552" s="77"/>
      <c r="X552" s="77"/>
      <c r="Y552" s="77"/>
      <c r="Z552" s="77"/>
      <c r="AA552" s="77"/>
      <c r="AB552" s="77"/>
      <c r="AC552" s="77"/>
      <c r="AD552" s="77"/>
    </row>
    <row r="553" spans="22:30" x14ac:dyDescent="0.35">
      <c r="V553" s="77"/>
      <c r="W553" s="77"/>
      <c r="X553" s="77"/>
      <c r="Y553" s="77"/>
      <c r="Z553" s="77"/>
      <c r="AA553" s="77"/>
      <c r="AB553" s="77"/>
      <c r="AC553" s="77"/>
      <c r="AD553" s="77"/>
    </row>
    <row r="554" spans="22:30" x14ac:dyDescent="0.35">
      <c r="V554" s="77"/>
      <c r="W554" s="77"/>
      <c r="X554" s="77"/>
      <c r="Y554" s="77"/>
      <c r="Z554" s="77"/>
      <c r="AA554" s="77"/>
      <c r="AB554" s="77"/>
      <c r="AC554" s="77"/>
      <c r="AD554" s="77"/>
    </row>
    <row r="555" spans="22:30" x14ac:dyDescent="0.35">
      <c r="V555" s="77"/>
      <c r="W555" s="77"/>
      <c r="X555" s="77"/>
      <c r="Y555" s="77"/>
      <c r="Z555" s="77"/>
      <c r="AA555" s="77"/>
      <c r="AB555" s="77"/>
      <c r="AC555" s="77"/>
      <c r="AD555" s="77"/>
    </row>
    <row r="556" spans="22:30" x14ac:dyDescent="0.35">
      <c r="V556" s="77"/>
      <c r="W556" s="77"/>
      <c r="X556" s="77"/>
      <c r="Y556" s="77"/>
      <c r="Z556" s="77"/>
      <c r="AA556" s="77"/>
      <c r="AB556" s="77"/>
      <c r="AC556" s="77"/>
      <c r="AD556" s="77"/>
    </row>
    <row r="557" spans="22:30" x14ac:dyDescent="0.35">
      <c r="V557" s="77"/>
      <c r="W557" s="77"/>
      <c r="X557" s="77"/>
      <c r="Y557" s="77"/>
      <c r="Z557" s="77"/>
      <c r="AA557" s="77"/>
      <c r="AB557" s="77"/>
      <c r="AC557" s="77"/>
      <c r="AD557" s="77"/>
    </row>
    <row r="558" spans="22:30" x14ac:dyDescent="0.35">
      <c r="V558" s="77"/>
      <c r="W558" s="77"/>
      <c r="X558" s="77"/>
      <c r="Y558" s="77"/>
      <c r="Z558" s="77"/>
      <c r="AA558" s="77"/>
      <c r="AB558" s="77"/>
      <c r="AC558" s="77"/>
      <c r="AD558" s="77"/>
    </row>
    <row r="559" spans="22:30" x14ac:dyDescent="0.35">
      <c r="V559" s="77"/>
      <c r="W559" s="77"/>
      <c r="X559" s="77"/>
      <c r="Y559" s="77"/>
      <c r="Z559" s="77"/>
      <c r="AA559" s="77"/>
      <c r="AB559" s="77"/>
      <c r="AC559" s="77"/>
      <c r="AD559" s="77"/>
    </row>
    <row r="560" spans="22:30" x14ac:dyDescent="0.35">
      <c r="V560" s="77"/>
      <c r="W560" s="77"/>
      <c r="X560" s="77"/>
      <c r="Y560" s="77"/>
      <c r="Z560" s="77"/>
      <c r="AA560" s="77"/>
      <c r="AB560" s="77"/>
      <c r="AC560" s="77"/>
      <c r="AD560" s="77"/>
    </row>
    <row r="561" spans="22:30" x14ac:dyDescent="0.35">
      <c r="V561" s="77"/>
      <c r="W561" s="77"/>
      <c r="X561" s="77"/>
      <c r="Y561" s="77"/>
      <c r="Z561" s="77"/>
      <c r="AA561" s="77"/>
      <c r="AB561" s="77"/>
      <c r="AC561" s="77"/>
      <c r="AD561" s="77"/>
    </row>
    <row r="562" spans="22:30" x14ac:dyDescent="0.35">
      <c r="V562" s="77"/>
      <c r="W562" s="77"/>
      <c r="X562" s="77"/>
      <c r="Y562" s="77"/>
      <c r="Z562" s="77"/>
      <c r="AA562" s="77"/>
      <c r="AB562" s="77"/>
      <c r="AC562" s="77"/>
      <c r="AD562" s="77"/>
    </row>
    <row r="563" spans="22:30" x14ac:dyDescent="0.35">
      <c r="V563" s="77"/>
      <c r="W563" s="77"/>
      <c r="X563" s="77"/>
      <c r="Y563" s="77"/>
      <c r="Z563" s="77"/>
      <c r="AA563" s="77"/>
      <c r="AB563" s="77"/>
      <c r="AC563" s="77"/>
      <c r="AD563" s="77"/>
    </row>
    <row r="564" spans="22:30" x14ac:dyDescent="0.35">
      <c r="V564" s="77"/>
      <c r="W564" s="77"/>
      <c r="X564" s="77"/>
      <c r="Y564" s="77"/>
      <c r="Z564" s="77"/>
      <c r="AA564" s="77"/>
      <c r="AB564" s="77"/>
      <c r="AC564" s="77"/>
      <c r="AD564" s="77"/>
    </row>
    <row r="565" spans="22:30" x14ac:dyDescent="0.35">
      <c r="V565" s="77"/>
      <c r="W565" s="77"/>
      <c r="X565" s="77"/>
      <c r="Y565" s="77"/>
      <c r="Z565" s="77"/>
      <c r="AA565" s="77"/>
      <c r="AB565" s="77"/>
      <c r="AC565" s="77"/>
      <c r="AD565" s="77"/>
    </row>
    <row r="566" spans="22:30" x14ac:dyDescent="0.35">
      <c r="V566" s="77"/>
      <c r="W566" s="77"/>
      <c r="X566" s="77"/>
      <c r="Y566" s="77"/>
      <c r="Z566" s="77"/>
      <c r="AA566" s="77"/>
      <c r="AB566" s="77"/>
      <c r="AC566" s="77"/>
      <c r="AD566" s="77"/>
    </row>
    <row r="567" spans="22:30" x14ac:dyDescent="0.35">
      <c r="V567" s="77"/>
      <c r="W567" s="77"/>
      <c r="X567" s="77"/>
      <c r="Y567" s="77"/>
      <c r="Z567" s="77"/>
      <c r="AA567" s="77"/>
      <c r="AB567" s="77"/>
      <c r="AC567" s="77"/>
      <c r="AD567" s="77"/>
    </row>
    <row r="568" spans="22:30" x14ac:dyDescent="0.35">
      <c r="V568" s="77"/>
      <c r="W568" s="77"/>
      <c r="X568" s="77"/>
      <c r="Y568" s="77"/>
      <c r="Z568" s="77"/>
      <c r="AA568" s="77"/>
      <c r="AB568" s="77"/>
      <c r="AC568" s="77"/>
      <c r="AD568" s="77"/>
    </row>
    <row r="569" spans="22:30" x14ac:dyDescent="0.35">
      <c r="V569" s="77"/>
      <c r="W569" s="77"/>
      <c r="X569" s="77"/>
      <c r="Y569" s="77"/>
      <c r="Z569" s="77"/>
      <c r="AA569" s="77"/>
      <c r="AB569" s="77"/>
      <c r="AC569" s="77"/>
      <c r="AD569" s="77"/>
    </row>
    <row r="570" spans="22:30" x14ac:dyDescent="0.35">
      <c r="V570" s="77"/>
      <c r="W570" s="77"/>
      <c r="X570" s="77"/>
      <c r="Y570" s="77"/>
      <c r="Z570" s="77"/>
      <c r="AA570" s="77"/>
      <c r="AB570" s="77"/>
      <c r="AC570" s="77"/>
      <c r="AD570" s="77"/>
    </row>
    <row r="571" spans="22:30" x14ac:dyDescent="0.35">
      <c r="V571" s="77"/>
      <c r="W571" s="77"/>
      <c r="X571" s="77"/>
      <c r="Y571" s="77"/>
      <c r="Z571" s="77"/>
      <c r="AA571" s="77"/>
      <c r="AB571" s="77"/>
      <c r="AC571" s="77"/>
      <c r="AD571" s="77"/>
    </row>
    <row r="572" spans="22:30" x14ac:dyDescent="0.35">
      <c r="V572" s="77"/>
      <c r="W572" s="77"/>
      <c r="X572" s="77"/>
      <c r="Y572" s="77"/>
      <c r="Z572" s="77"/>
      <c r="AA572" s="77"/>
      <c r="AB572" s="77"/>
      <c r="AC572" s="77"/>
      <c r="AD572" s="77"/>
    </row>
    <row r="573" spans="22:30" x14ac:dyDescent="0.35">
      <c r="V573" s="77"/>
      <c r="W573" s="77"/>
      <c r="X573" s="77"/>
      <c r="Y573" s="77"/>
      <c r="Z573" s="77"/>
      <c r="AA573" s="77"/>
      <c r="AB573" s="77"/>
      <c r="AC573" s="77"/>
      <c r="AD573" s="77"/>
    </row>
    <row r="574" spans="22:30" x14ac:dyDescent="0.35">
      <c r="V574" s="77"/>
      <c r="W574" s="77"/>
      <c r="X574" s="77"/>
      <c r="Y574" s="77"/>
      <c r="Z574" s="77"/>
      <c r="AA574" s="77"/>
      <c r="AB574" s="77"/>
      <c r="AC574" s="77"/>
      <c r="AD574" s="77"/>
    </row>
    <row r="575" spans="22:30" x14ac:dyDescent="0.35">
      <c r="V575" s="77"/>
      <c r="W575" s="77"/>
      <c r="X575" s="77"/>
      <c r="Y575" s="77"/>
      <c r="Z575" s="77"/>
      <c r="AA575" s="77"/>
      <c r="AB575" s="77"/>
      <c r="AC575" s="77"/>
      <c r="AD575" s="77"/>
    </row>
    <row r="576" spans="22:30" x14ac:dyDescent="0.35">
      <c r="V576" s="77"/>
      <c r="W576" s="77"/>
      <c r="X576" s="77"/>
      <c r="Y576" s="77"/>
      <c r="Z576" s="77"/>
      <c r="AA576" s="77"/>
      <c r="AB576" s="77"/>
      <c r="AC576" s="77"/>
      <c r="AD576" s="77"/>
    </row>
    <row r="577" spans="22:30" x14ac:dyDescent="0.35">
      <c r="V577" s="77"/>
      <c r="W577" s="77"/>
      <c r="X577" s="77"/>
      <c r="Y577" s="77"/>
      <c r="Z577" s="77"/>
      <c r="AA577" s="77"/>
      <c r="AB577" s="77"/>
      <c r="AC577" s="77"/>
      <c r="AD577" s="77"/>
    </row>
    <row r="578" spans="22:30" x14ac:dyDescent="0.35">
      <c r="V578" s="77"/>
      <c r="W578" s="77"/>
      <c r="X578" s="77"/>
      <c r="Y578" s="77"/>
      <c r="Z578" s="77"/>
      <c r="AA578" s="77"/>
      <c r="AB578" s="77"/>
      <c r="AC578" s="77"/>
      <c r="AD578" s="77"/>
    </row>
    <row r="579" spans="22:30" x14ac:dyDescent="0.35">
      <c r="V579" s="77"/>
      <c r="W579" s="77"/>
      <c r="X579" s="77"/>
      <c r="Y579" s="77"/>
      <c r="Z579" s="77"/>
      <c r="AA579" s="77"/>
      <c r="AB579" s="77"/>
      <c r="AC579" s="77"/>
      <c r="AD579" s="77"/>
    </row>
    <row r="580" spans="22:30" x14ac:dyDescent="0.35">
      <c r="V580" s="77"/>
      <c r="W580" s="77"/>
      <c r="X580" s="77"/>
      <c r="Y580" s="77"/>
      <c r="Z580" s="77"/>
      <c r="AA580" s="77"/>
      <c r="AB580" s="77"/>
      <c r="AC580" s="77"/>
      <c r="AD580" s="77"/>
    </row>
    <row r="581" spans="22:30" x14ac:dyDescent="0.35">
      <c r="V581" s="77"/>
      <c r="W581" s="77"/>
      <c r="X581" s="77"/>
      <c r="Y581" s="77"/>
      <c r="Z581" s="77"/>
      <c r="AA581" s="77"/>
      <c r="AB581" s="77"/>
      <c r="AC581" s="77"/>
      <c r="AD581" s="77"/>
    </row>
    <row r="582" spans="22:30" x14ac:dyDescent="0.35">
      <c r="V582" s="77"/>
      <c r="W582" s="77"/>
      <c r="X582" s="77"/>
      <c r="Y582" s="77"/>
      <c r="Z582" s="77"/>
      <c r="AA582" s="77"/>
      <c r="AB582" s="77"/>
      <c r="AC582" s="77"/>
      <c r="AD582" s="77"/>
    </row>
    <row r="583" spans="22:30" x14ac:dyDescent="0.35">
      <c r="V583" s="77"/>
      <c r="W583" s="77"/>
      <c r="X583" s="77"/>
      <c r="Y583" s="77"/>
      <c r="Z583" s="77"/>
      <c r="AA583" s="77"/>
      <c r="AB583" s="77"/>
      <c r="AC583" s="77"/>
      <c r="AD583" s="77"/>
    </row>
    <row r="584" spans="22:30" x14ac:dyDescent="0.35">
      <c r="V584" s="77"/>
      <c r="W584" s="77"/>
      <c r="X584" s="77"/>
      <c r="Y584" s="77"/>
      <c r="Z584" s="77"/>
      <c r="AA584" s="77"/>
      <c r="AB584" s="77"/>
      <c r="AC584" s="77"/>
      <c r="AD584" s="77"/>
    </row>
    <row r="585" spans="22:30" x14ac:dyDescent="0.35">
      <c r="V585" s="77"/>
      <c r="W585" s="77"/>
      <c r="X585" s="77"/>
      <c r="Y585" s="77"/>
      <c r="Z585" s="77"/>
      <c r="AA585" s="77"/>
      <c r="AB585" s="77"/>
      <c r="AC585" s="77"/>
      <c r="AD585" s="77"/>
    </row>
    <row r="586" spans="22:30" x14ac:dyDescent="0.35">
      <c r="V586" s="77"/>
      <c r="W586" s="77"/>
      <c r="X586" s="77"/>
      <c r="Y586" s="77"/>
      <c r="Z586" s="77"/>
      <c r="AA586" s="77"/>
      <c r="AB586" s="77"/>
      <c r="AC586" s="77"/>
      <c r="AD586" s="77"/>
    </row>
    <row r="587" spans="22:30" x14ac:dyDescent="0.35">
      <c r="V587" s="77"/>
      <c r="W587" s="77"/>
      <c r="X587" s="77"/>
      <c r="Y587" s="77"/>
      <c r="Z587" s="77"/>
      <c r="AA587" s="77"/>
      <c r="AB587" s="77"/>
      <c r="AC587" s="77"/>
      <c r="AD587" s="77"/>
    </row>
    <row r="588" spans="22:30" x14ac:dyDescent="0.35">
      <c r="V588" s="77"/>
      <c r="W588" s="77"/>
      <c r="X588" s="77"/>
      <c r="Y588" s="77"/>
      <c r="Z588" s="77"/>
      <c r="AA588" s="77"/>
      <c r="AB588" s="77"/>
      <c r="AC588" s="77"/>
      <c r="AD588" s="77"/>
    </row>
    <row r="589" spans="22:30" x14ac:dyDescent="0.35">
      <c r="V589" s="77"/>
      <c r="W589" s="77"/>
      <c r="X589" s="77"/>
      <c r="Y589" s="77"/>
      <c r="Z589" s="77"/>
      <c r="AA589" s="77"/>
      <c r="AB589" s="77"/>
      <c r="AC589" s="77"/>
      <c r="AD589" s="77"/>
    </row>
    <row r="590" spans="22:30" x14ac:dyDescent="0.35">
      <c r="V590" s="77"/>
      <c r="W590" s="77"/>
      <c r="X590" s="77"/>
      <c r="Y590" s="77"/>
      <c r="Z590" s="77"/>
      <c r="AA590" s="77"/>
      <c r="AB590" s="77"/>
      <c r="AC590" s="77"/>
      <c r="AD590" s="77"/>
    </row>
    <row r="591" spans="22:30" x14ac:dyDescent="0.35">
      <c r="V591" s="77"/>
      <c r="W591" s="77"/>
      <c r="X591" s="77"/>
      <c r="Y591" s="77"/>
      <c r="Z591" s="77"/>
      <c r="AA591" s="77"/>
      <c r="AB591" s="77"/>
      <c r="AC591" s="77"/>
      <c r="AD591" s="77"/>
    </row>
    <row r="592" spans="22:30" x14ac:dyDescent="0.35">
      <c r="V592" s="77"/>
      <c r="W592" s="77"/>
      <c r="X592" s="77"/>
      <c r="Y592" s="77"/>
      <c r="Z592" s="77"/>
      <c r="AA592" s="77"/>
      <c r="AB592" s="77"/>
      <c r="AC592" s="77"/>
      <c r="AD592" s="77"/>
    </row>
    <row r="593" spans="22:30" x14ac:dyDescent="0.35">
      <c r="V593" s="77"/>
      <c r="W593" s="77"/>
      <c r="X593" s="77"/>
      <c r="Y593" s="77"/>
      <c r="Z593" s="77"/>
      <c r="AA593" s="77"/>
      <c r="AB593" s="77"/>
      <c r="AC593" s="77"/>
      <c r="AD593" s="77"/>
    </row>
    <row r="594" spans="22:30" x14ac:dyDescent="0.35">
      <c r="V594" s="77"/>
      <c r="W594" s="77"/>
      <c r="X594" s="77"/>
      <c r="Y594" s="77"/>
      <c r="Z594" s="77"/>
      <c r="AA594" s="77"/>
      <c r="AB594" s="77"/>
      <c r="AC594" s="77"/>
      <c r="AD594" s="77"/>
    </row>
    <row r="595" spans="22:30" x14ac:dyDescent="0.35">
      <c r="V595" s="77"/>
      <c r="W595" s="77"/>
      <c r="X595" s="77"/>
      <c r="Y595" s="77"/>
      <c r="Z595" s="77"/>
      <c r="AA595" s="77"/>
      <c r="AB595" s="77"/>
      <c r="AC595" s="77"/>
      <c r="AD595" s="77"/>
    </row>
    <row r="596" spans="22:30" x14ac:dyDescent="0.35">
      <c r="V596" s="77"/>
      <c r="W596" s="77"/>
      <c r="X596" s="77"/>
      <c r="Y596" s="77"/>
      <c r="Z596" s="77"/>
      <c r="AA596" s="77"/>
      <c r="AB596" s="77"/>
      <c r="AC596" s="77"/>
      <c r="AD596" s="77"/>
    </row>
    <row r="597" spans="22:30" x14ac:dyDescent="0.35">
      <c r="V597" s="77"/>
      <c r="W597" s="77"/>
      <c r="X597" s="77"/>
      <c r="Y597" s="77"/>
      <c r="Z597" s="77"/>
      <c r="AA597" s="77"/>
      <c r="AB597" s="77"/>
      <c r="AC597" s="77"/>
      <c r="AD597" s="77"/>
    </row>
    <row r="598" spans="22:30" x14ac:dyDescent="0.35">
      <c r="V598" s="77"/>
      <c r="W598" s="77"/>
      <c r="X598" s="77"/>
      <c r="Y598" s="77"/>
      <c r="Z598" s="77"/>
      <c r="AA598" s="77"/>
      <c r="AB598" s="77"/>
      <c r="AC598" s="77"/>
      <c r="AD598" s="77"/>
    </row>
    <row r="599" spans="22:30" x14ac:dyDescent="0.35">
      <c r="V599" s="77"/>
      <c r="W599" s="77"/>
      <c r="X599" s="77"/>
      <c r="Y599" s="77"/>
      <c r="Z599" s="77"/>
      <c r="AA599" s="77"/>
      <c r="AB599" s="77"/>
      <c r="AC599" s="77"/>
      <c r="AD599" s="77"/>
    </row>
    <row r="600" spans="22:30" x14ac:dyDescent="0.35">
      <c r="V600" s="77"/>
      <c r="W600" s="77"/>
      <c r="X600" s="77"/>
      <c r="Y600" s="77"/>
      <c r="Z600" s="77"/>
      <c r="AA600" s="77"/>
      <c r="AB600" s="77"/>
      <c r="AC600" s="77"/>
      <c r="AD600" s="77"/>
    </row>
    <row r="601" spans="22:30" x14ac:dyDescent="0.35">
      <c r="V601" s="77"/>
      <c r="W601" s="77"/>
      <c r="X601" s="77"/>
      <c r="Y601" s="77"/>
      <c r="Z601" s="77"/>
      <c r="AA601" s="77"/>
      <c r="AB601" s="77"/>
      <c r="AC601" s="77"/>
      <c r="AD601" s="77"/>
    </row>
    <row r="602" spans="22:30" x14ac:dyDescent="0.35">
      <c r="V602" s="77"/>
      <c r="W602" s="77"/>
      <c r="X602" s="77"/>
      <c r="Y602" s="77"/>
      <c r="Z602" s="77"/>
      <c r="AA602" s="77"/>
      <c r="AB602" s="77"/>
      <c r="AC602" s="77"/>
      <c r="AD602" s="77"/>
    </row>
    <row r="603" spans="22:30" x14ac:dyDescent="0.35">
      <c r="V603" s="77"/>
      <c r="W603" s="77"/>
      <c r="X603" s="77"/>
      <c r="Y603" s="77"/>
      <c r="Z603" s="77"/>
      <c r="AA603" s="77"/>
      <c r="AB603" s="77"/>
      <c r="AC603" s="77"/>
      <c r="AD603" s="77"/>
    </row>
    <row r="604" spans="22:30" x14ac:dyDescent="0.35">
      <c r="V604" s="77"/>
      <c r="W604" s="77"/>
      <c r="X604" s="77"/>
      <c r="Y604" s="77"/>
      <c r="Z604" s="77"/>
      <c r="AA604" s="77"/>
      <c r="AB604" s="77"/>
      <c r="AC604" s="77"/>
      <c r="AD604" s="77"/>
    </row>
    <row r="605" spans="22:30" x14ac:dyDescent="0.35">
      <c r="V605" s="77"/>
      <c r="W605" s="77"/>
      <c r="X605" s="77"/>
      <c r="Y605" s="77"/>
      <c r="Z605" s="77"/>
      <c r="AA605" s="77"/>
      <c r="AB605" s="77"/>
      <c r="AC605" s="77"/>
      <c r="AD605" s="77"/>
    </row>
    <row r="606" spans="22:30" x14ac:dyDescent="0.35">
      <c r="V606" s="77"/>
      <c r="W606" s="77"/>
      <c r="X606" s="77"/>
      <c r="Y606" s="77"/>
      <c r="Z606" s="77"/>
      <c r="AA606" s="77"/>
      <c r="AB606" s="77"/>
      <c r="AC606" s="77"/>
      <c r="AD606" s="77"/>
    </row>
    <row r="607" spans="22:30" x14ac:dyDescent="0.35">
      <c r="V607" s="77"/>
      <c r="W607" s="77"/>
      <c r="X607" s="77"/>
      <c r="Y607" s="77"/>
      <c r="Z607" s="77"/>
      <c r="AA607" s="77"/>
      <c r="AB607" s="77"/>
      <c r="AC607" s="77"/>
      <c r="AD607" s="77"/>
    </row>
    <row r="608" spans="22:30" x14ac:dyDescent="0.35">
      <c r="V608" s="77"/>
      <c r="W608" s="77"/>
      <c r="X608" s="77"/>
      <c r="Y608" s="77"/>
      <c r="Z608" s="77"/>
      <c r="AA608" s="77"/>
      <c r="AB608" s="77"/>
      <c r="AC608" s="77"/>
      <c r="AD608" s="77"/>
    </row>
    <row r="609" spans="22:30" x14ac:dyDescent="0.35">
      <c r="V609" s="77"/>
      <c r="W609" s="77"/>
      <c r="X609" s="77"/>
      <c r="Y609" s="77"/>
      <c r="Z609" s="77"/>
      <c r="AA609" s="77"/>
      <c r="AB609" s="77"/>
      <c r="AC609" s="77"/>
      <c r="AD609" s="77"/>
    </row>
    <row r="610" spans="22:30" x14ac:dyDescent="0.35">
      <c r="V610" s="77"/>
      <c r="W610" s="77"/>
      <c r="X610" s="77"/>
      <c r="Y610" s="77"/>
      <c r="Z610" s="77"/>
      <c r="AA610" s="77"/>
      <c r="AB610" s="77"/>
      <c r="AC610" s="77"/>
      <c r="AD610" s="77"/>
    </row>
    <row r="611" spans="22:30" x14ac:dyDescent="0.35">
      <c r="V611" s="77"/>
      <c r="W611" s="77"/>
      <c r="X611" s="77"/>
      <c r="Y611" s="77"/>
      <c r="Z611" s="77"/>
      <c r="AA611" s="77"/>
      <c r="AB611" s="77"/>
      <c r="AC611" s="77"/>
      <c r="AD611" s="77"/>
    </row>
    <row r="612" spans="22:30" x14ac:dyDescent="0.35">
      <c r="V612" s="77"/>
      <c r="W612" s="77"/>
      <c r="X612" s="77"/>
      <c r="Y612" s="77"/>
      <c r="Z612" s="77"/>
      <c r="AA612" s="77"/>
      <c r="AB612" s="77"/>
      <c r="AC612" s="77"/>
      <c r="AD612" s="77"/>
    </row>
    <row r="613" spans="22:30" x14ac:dyDescent="0.35">
      <c r="V613" s="77"/>
      <c r="W613" s="77"/>
      <c r="X613" s="77"/>
      <c r="Y613" s="77"/>
      <c r="Z613" s="77"/>
      <c r="AA613" s="77"/>
      <c r="AB613" s="77"/>
      <c r="AC613" s="77"/>
      <c r="AD613" s="77"/>
    </row>
    <row r="614" spans="22:30" x14ac:dyDescent="0.35">
      <c r="V614" s="77"/>
      <c r="W614" s="77"/>
      <c r="X614" s="77"/>
      <c r="Y614" s="77"/>
      <c r="Z614" s="77"/>
      <c r="AA614" s="77"/>
      <c r="AB614" s="77"/>
      <c r="AC614" s="77"/>
      <c r="AD614" s="77"/>
    </row>
    <row r="615" spans="22:30" x14ac:dyDescent="0.35">
      <c r="V615" s="77"/>
      <c r="W615" s="77"/>
      <c r="X615" s="77"/>
      <c r="Y615" s="77"/>
      <c r="Z615" s="77"/>
      <c r="AA615" s="77"/>
      <c r="AB615" s="77"/>
      <c r="AC615" s="77"/>
      <c r="AD615" s="77"/>
    </row>
    <row r="616" spans="22:30" x14ac:dyDescent="0.35">
      <c r="V616" s="77"/>
      <c r="W616" s="77"/>
      <c r="X616" s="77"/>
      <c r="Y616" s="77"/>
      <c r="Z616" s="77"/>
      <c r="AA616" s="77"/>
      <c r="AB616" s="77"/>
      <c r="AC616" s="77"/>
      <c r="AD616" s="77"/>
    </row>
    <row r="617" spans="22:30" x14ac:dyDescent="0.35">
      <c r="V617" s="77"/>
      <c r="W617" s="77"/>
      <c r="X617" s="77"/>
      <c r="Y617" s="77"/>
      <c r="Z617" s="77"/>
      <c r="AA617" s="77"/>
      <c r="AB617" s="77"/>
      <c r="AC617" s="77"/>
      <c r="AD617" s="77"/>
    </row>
    <row r="618" spans="22:30" x14ac:dyDescent="0.35">
      <c r="V618" s="77"/>
      <c r="W618" s="77"/>
      <c r="X618" s="77"/>
      <c r="Y618" s="77"/>
      <c r="Z618" s="77"/>
      <c r="AA618" s="77"/>
      <c r="AB618" s="77"/>
      <c r="AC618" s="77"/>
      <c r="AD618" s="77"/>
    </row>
    <row r="619" spans="22:30" x14ac:dyDescent="0.35">
      <c r="V619" s="77"/>
      <c r="W619" s="77"/>
      <c r="X619" s="77"/>
      <c r="Y619" s="77"/>
      <c r="Z619" s="77"/>
      <c r="AA619" s="77"/>
      <c r="AB619" s="77"/>
      <c r="AC619" s="77"/>
      <c r="AD619" s="77"/>
    </row>
    <row r="620" spans="22:30" x14ac:dyDescent="0.35">
      <c r="V620" s="77"/>
      <c r="W620" s="77"/>
      <c r="X620" s="77"/>
      <c r="Y620" s="77"/>
      <c r="Z620" s="77"/>
      <c r="AA620" s="77"/>
      <c r="AB620" s="77"/>
      <c r="AC620" s="77"/>
      <c r="AD620" s="77"/>
    </row>
    <row r="621" spans="22:30" x14ac:dyDescent="0.35">
      <c r="V621" s="77"/>
      <c r="W621" s="77"/>
      <c r="X621" s="77"/>
      <c r="Y621" s="77"/>
      <c r="Z621" s="77"/>
      <c r="AA621" s="77"/>
      <c r="AB621" s="77"/>
      <c r="AC621" s="77"/>
      <c r="AD621" s="77"/>
    </row>
    <row r="622" spans="22:30" x14ac:dyDescent="0.35">
      <c r="V622" s="77"/>
      <c r="W622" s="77"/>
      <c r="X622" s="77"/>
      <c r="Y622" s="77"/>
      <c r="Z622" s="77"/>
      <c r="AA622" s="77"/>
      <c r="AB622" s="77"/>
      <c r="AC622" s="77"/>
      <c r="AD622" s="77"/>
    </row>
    <row r="623" spans="22:30" x14ac:dyDescent="0.35">
      <c r="V623" s="77"/>
      <c r="W623" s="77"/>
      <c r="X623" s="77"/>
      <c r="Y623" s="77"/>
      <c r="Z623" s="77"/>
      <c r="AA623" s="77"/>
      <c r="AB623" s="77"/>
      <c r="AC623" s="77"/>
      <c r="AD623" s="77"/>
    </row>
    <row r="624" spans="22:30" x14ac:dyDescent="0.35">
      <c r="V624" s="77"/>
      <c r="W624" s="77"/>
      <c r="X624" s="77"/>
      <c r="Y624" s="77"/>
      <c r="Z624" s="77"/>
      <c r="AA624" s="77"/>
      <c r="AB624" s="77"/>
      <c r="AC624" s="77"/>
      <c r="AD624" s="77"/>
    </row>
    <row r="625" spans="22:30" x14ac:dyDescent="0.35">
      <c r="V625" s="77"/>
      <c r="W625" s="77"/>
      <c r="X625" s="77"/>
      <c r="Y625" s="77"/>
      <c r="Z625" s="77"/>
      <c r="AA625" s="77"/>
      <c r="AB625" s="77"/>
      <c r="AC625" s="77"/>
      <c r="AD625" s="77"/>
    </row>
    <row r="626" spans="22:30" x14ac:dyDescent="0.35">
      <c r="V626" s="77"/>
      <c r="W626" s="77"/>
      <c r="X626" s="77"/>
      <c r="Y626" s="77"/>
      <c r="Z626" s="77"/>
      <c r="AA626" s="77"/>
      <c r="AB626" s="77"/>
      <c r="AC626" s="77"/>
      <c r="AD626" s="77"/>
    </row>
    <row r="627" spans="22:30" x14ac:dyDescent="0.35">
      <c r="V627" s="77"/>
      <c r="W627" s="77"/>
      <c r="X627" s="77"/>
      <c r="Y627" s="77"/>
      <c r="Z627" s="77"/>
      <c r="AA627" s="77"/>
      <c r="AB627" s="77"/>
      <c r="AC627" s="77"/>
      <c r="AD627" s="77"/>
    </row>
    <row r="628" spans="22:30" x14ac:dyDescent="0.35">
      <c r="V628" s="77"/>
      <c r="W628" s="77"/>
      <c r="X628" s="77"/>
      <c r="Y628" s="77"/>
      <c r="Z628" s="77"/>
      <c r="AA628" s="77"/>
      <c r="AB628" s="77"/>
      <c r="AC628" s="77"/>
      <c r="AD628" s="77"/>
    </row>
    <row r="629" spans="22:30" x14ac:dyDescent="0.35">
      <c r="V629" s="77"/>
      <c r="W629" s="77"/>
      <c r="X629" s="77"/>
      <c r="Y629" s="77"/>
      <c r="Z629" s="77"/>
      <c r="AA629" s="77"/>
      <c r="AB629" s="77"/>
      <c r="AC629" s="77"/>
      <c r="AD629" s="77"/>
    </row>
    <row r="630" spans="22:30" x14ac:dyDescent="0.35">
      <c r="V630" s="77"/>
      <c r="W630" s="77"/>
      <c r="X630" s="77"/>
      <c r="Y630" s="77"/>
      <c r="Z630" s="77"/>
      <c r="AA630" s="77"/>
      <c r="AB630" s="77"/>
      <c r="AC630" s="77"/>
      <c r="AD630" s="77"/>
    </row>
    <row r="631" spans="22:30" x14ac:dyDescent="0.35">
      <c r="V631" s="77"/>
      <c r="W631" s="77"/>
      <c r="X631" s="77"/>
      <c r="Y631" s="77"/>
      <c r="Z631" s="77"/>
      <c r="AA631" s="77"/>
      <c r="AB631" s="77"/>
      <c r="AC631" s="77"/>
      <c r="AD631" s="77"/>
    </row>
    <row r="632" spans="22:30" x14ac:dyDescent="0.35">
      <c r="V632" s="77"/>
      <c r="W632" s="77"/>
      <c r="X632" s="77"/>
      <c r="Y632" s="77"/>
      <c r="Z632" s="77"/>
      <c r="AA632" s="77"/>
      <c r="AB632" s="77"/>
      <c r="AC632" s="77"/>
      <c r="AD632" s="77"/>
    </row>
    <row r="633" spans="22:30" x14ac:dyDescent="0.35">
      <c r="V633" s="77"/>
      <c r="W633" s="77"/>
      <c r="X633" s="77"/>
      <c r="Y633" s="77"/>
      <c r="Z633" s="77"/>
      <c r="AA633" s="77"/>
      <c r="AB633" s="77"/>
      <c r="AC633" s="77"/>
      <c r="AD633" s="77"/>
    </row>
    <row r="634" spans="22:30" x14ac:dyDescent="0.35">
      <c r="V634" s="77"/>
      <c r="W634" s="77"/>
      <c r="X634" s="77"/>
      <c r="Y634" s="77"/>
      <c r="Z634" s="77"/>
      <c r="AA634" s="77"/>
      <c r="AB634" s="77"/>
      <c r="AC634" s="77"/>
      <c r="AD634" s="77"/>
    </row>
    <row r="635" spans="22:30" x14ac:dyDescent="0.35">
      <c r="V635" s="77"/>
      <c r="W635" s="77"/>
      <c r="X635" s="77"/>
      <c r="Y635" s="77"/>
      <c r="Z635" s="77"/>
      <c r="AA635" s="77"/>
      <c r="AB635" s="77"/>
      <c r="AC635" s="77"/>
      <c r="AD635" s="77"/>
    </row>
    <row r="636" spans="22:30" x14ac:dyDescent="0.35">
      <c r="V636" s="77"/>
      <c r="W636" s="77"/>
      <c r="X636" s="77"/>
      <c r="Y636" s="77"/>
      <c r="Z636" s="77"/>
      <c r="AA636" s="77"/>
      <c r="AB636" s="77"/>
      <c r="AC636" s="77"/>
      <c r="AD636" s="77"/>
    </row>
    <row r="637" spans="22:30" x14ac:dyDescent="0.35">
      <c r="V637" s="77"/>
      <c r="W637" s="77"/>
      <c r="X637" s="77"/>
      <c r="Y637" s="77"/>
      <c r="Z637" s="77"/>
      <c r="AA637" s="77"/>
      <c r="AB637" s="77"/>
      <c r="AC637" s="77"/>
      <c r="AD637" s="77"/>
    </row>
    <row r="638" spans="22:30" x14ac:dyDescent="0.35">
      <c r="V638" s="77"/>
      <c r="W638" s="77"/>
      <c r="X638" s="77"/>
      <c r="Y638" s="77"/>
      <c r="Z638" s="77"/>
      <c r="AA638" s="77"/>
      <c r="AB638" s="77"/>
      <c r="AC638" s="77"/>
      <c r="AD638" s="77"/>
    </row>
    <row r="639" spans="22:30" x14ac:dyDescent="0.35">
      <c r="V639" s="77"/>
      <c r="W639" s="77"/>
      <c r="X639" s="77"/>
      <c r="Y639" s="77"/>
      <c r="Z639" s="77"/>
      <c r="AA639" s="77"/>
      <c r="AB639" s="77"/>
      <c r="AC639" s="77"/>
      <c r="AD639" s="77"/>
    </row>
    <row r="640" spans="22:30" x14ac:dyDescent="0.35">
      <c r="V640" s="77"/>
      <c r="W640" s="77"/>
      <c r="X640" s="77"/>
      <c r="Y640" s="77"/>
      <c r="Z640" s="77"/>
      <c r="AA640" s="77"/>
      <c r="AB640" s="77"/>
      <c r="AC640" s="77"/>
      <c r="AD640" s="77"/>
    </row>
    <row r="641" spans="22:30" x14ac:dyDescent="0.35">
      <c r="V641" s="77"/>
      <c r="W641" s="77"/>
      <c r="X641" s="77"/>
      <c r="Y641" s="77"/>
      <c r="Z641" s="77"/>
      <c r="AA641" s="77"/>
      <c r="AB641" s="77"/>
      <c r="AC641" s="77"/>
      <c r="AD641" s="77"/>
    </row>
    <row r="642" spans="22:30" x14ac:dyDescent="0.35">
      <c r="V642" s="77"/>
      <c r="W642" s="77"/>
      <c r="X642" s="77"/>
      <c r="Y642" s="77"/>
      <c r="Z642" s="77"/>
      <c r="AA642" s="77"/>
      <c r="AB642" s="77"/>
      <c r="AC642" s="77"/>
      <c r="AD642" s="77"/>
    </row>
    <row r="643" spans="22:30" x14ac:dyDescent="0.35">
      <c r="V643" s="77"/>
      <c r="W643" s="77"/>
      <c r="X643" s="77"/>
      <c r="Y643" s="77"/>
      <c r="Z643" s="77"/>
      <c r="AA643" s="77"/>
      <c r="AB643" s="77"/>
      <c r="AC643" s="77"/>
      <c r="AD643" s="77"/>
    </row>
    <row r="644" spans="22:30" x14ac:dyDescent="0.35">
      <c r="V644" s="77"/>
      <c r="W644" s="77"/>
      <c r="X644" s="77"/>
      <c r="Y644" s="77"/>
      <c r="Z644" s="77"/>
      <c r="AA644" s="77"/>
      <c r="AB644" s="77"/>
      <c r="AC644" s="77"/>
      <c r="AD644" s="77"/>
    </row>
    <row r="645" spans="22:30" x14ac:dyDescent="0.35">
      <c r="V645" s="77"/>
      <c r="W645" s="77"/>
      <c r="X645" s="77"/>
      <c r="Y645" s="77"/>
      <c r="Z645" s="77"/>
      <c r="AA645" s="77"/>
      <c r="AB645" s="77"/>
      <c r="AC645" s="77"/>
      <c r="AD645" s="77"/>
    </row>
    <row r="646" spans="22:30" x14ac:dyDescent="0.35">
      <c r="V646" s="77"/>
      <c r="W646" s="77"/>
      <c r="X646" s="77"/>
      <c r="Y646" s="77"/>
      <c r="Z646" s="77"/>
      <c r="AA646" s="77"/>
      <c r="AB646" s="77"/>
      <c r="AC646" s="77"/>
      <c r="AD646" s="77"/>
    </row>
    <row r="647" spans="22:30" x14ac:dyDescent="0.35">
      <c r="V647" s="77"/>
      <c r="W647" s="77"/>
      <c r="X647" s="77"/>
      <c r="Y647" s="77"/>
      <c r="Z647" s="77"/>
      <c r="AA647" s="77"/>
      <c r="AB647" s="77"/>
      <c r="AC647" s="77"/>
      <c r="AD647" s="77"/>
    </row>
    <row r="648" spans="22:30" x14ac:dyDescent="0.35">
      <c r="V648" s="77"/>
      <c r="W648" s="77"/>
      <c r="X648" s="77"/>
      <c r="Y648" s="77"/>
      <c r="Z648" s="77"/>
      <c r="AA648" s="77"/>
      <c r="AB648" s="77"/>
      <c r="AC648" s="77"/>
      <c r="AD648" s="77"/>
    </row>
    <row r="649" spans="22:30" x14ac:dyDescent="0.35">
      <c r="V649" s="77"/>
      <c r="W649" s="77"/>
      <c r="X649" s="77"/>
      <c r="Y649" s="77"/>
      <c r="Z649" s="77"/>
      <c r="AA649" s="77"/>
      <c r="AB649" s="77"/>
      <c r="AC649" s="77"/>
      <c r="AD649" s="77"/>
    </row>
    <row r="650" spans="22:30" x14ac:dyDescent="0.35">
      <c r="V650" s="77"/>
      <c r="W650" s="77"/>
      <c r="X650" s="77"/>
      <c r="Y650" s="77"/>
      <c r="Z650" s="77"/>
      <c r="AA650" s="77"/>
      <c r="AB650" s="77"/>
      <c r="AC650" s="77"/>
      <c r="AD650" s="77"/>
    </row>
    <row r="651" spans="22:30" x14ac:dyDescent="0.35">
      <c r="V651" s="77"/>
      <c r="W651" s="77"/>
      <c r="X651" s="77"/>
      <c r="Y651" s="77"/>
      <c r="Z651" s="77"/>
      <c r="AA651" s="77"/>
      <c r="AB651" s="77"/>
      <c r="AC651" s="77"/>
      <c r="AD651" s="77"/>
    </row>
    <row r="652" spans="22:30" x14ac:dyDescent="0.35">
      <c r="V652" s="77"/>
      <c r="W652" s="77"/>
      <c r="X652" s="77"/>
      <c r="Y652" s="77"/>
      <c r="Z652" s="77"/>
      <c r="AA652" s="77"/>
      <c r="AB652" s="77"/>
      <c r="AC652" s="77"/>
      <c r="AD652" s="77"/>
    </row>
    <row r="653" spans="22:30" x14ac:dyDescent="0.35">
      <c r="V653" s="77"/>
      <c r="W653" s="77"/>
      <c r="X653" s="77"/>
      <c r="Y653" s="77"/>
      <c r="Z653" s="77"/>
      <c r="AA653" s="77"/>
      <c r="AB653" s="77"/>
      <c r="AC653" s="77"/>
      <c r="AD653" s="77"/>
    </row>
    <row r="654" spans="22:30" x14ac:dyDescent="0.35">
      <c r="V654" s="77"/>
      <c r="W654" s="77"/>
      <c r="X654" s="77"/>
      <c r="Y654" s="77"/>
      <c r="Z654" s="77"/>
      <c r="AA654" s="77"/>
      <c r="AB654" s="77"/>
      <c r="AC654" s="77"/>
      <c r="AD654" s="77"/>
    </row>
    <row r="655" spans="22:30" x14ac:dyDescent="0.35">
      <c r="V655" s="77"/>
      <c r="W655" s="77"/>
      <c r="X655" s="77"/>
      <c r="Y655" s="77"/>
      <c r="Z655" s="77"/>
      <c r="AA655" s="77"/>
      <c r="AB655" s="77"/>
      <c r="AC655" s="77"/>
      <c r="AD655" s="77"/>
    </row>
    <row r="656" spans="22:30" x14ac:dyDescent="0.35">
      <c r="V656" s="77"/>
      <c r="W656" s="77"/>
      <c r="X656" s="77"/>
      <c r="Y656" s="77"/>
      <c r="Z656" s="77"/>
      <c r="AA656" s="77"/>
      <c r="AB656" s="77"/>
      <c r="AC656" s="77"/>
      <c r="AD656" s="77"/>
    </row>
    <row r="657" spans="22:30" x14ac:dyDescent="0.35">
      <c r="V657" s="77"/>
      <c r="W657" s="77"/>
      <c r="X657" s="77"/>
      <c r="Y657" s="77"/>
      <c r="Z657" s="77"/>
      <c r="AA657" s="77"/>
      <c r="AB657" s="77"/>
      <c r="AC657" s="77"/>
      <c r="AD657" s="77"/>
    </row>
    <row r="658" spans="22:30" x14ac:dyDescent="0.35">
      <c r="V658" s="77"/>
      <c r="W658" s="77"/>
      <c r="X658" s="77"/>
      <c r="Y658" s="77"/>
      <c r="Z658" s="77"/>
      <c r="AA658" s="77"/>
      <c r="AB658" s="77"/>
      <c r="AC658" s="77"/>
      <c r="AD658" s="77"/>
    </row>
    <row r="659" spans="22:30" x14ac:dyDescent="0.35">
      <c r="V659" s="77"/>
      <c r="W659" s="77"/>
      <c r="X659" s="77"/>
      <c r="Y659" s="77"/>
      <c r="Z659" s="77"/>
      <c r="AA659" s="77"/>
      <c r="AB659" s="77"/>
      <c r="AC659" s="77"/>
      <c r="AD659" s="77"/>
    </row>
    <row r="660" spans="22:30" x14ac:dyDescent="0.35">
      <c r="V660" s="77"/>
      <c r="W660" s="77"/>
      <c r="X660" s="77"/>
      <c r="Y660" s="77"/>
      <c r="Z660" s="77"/>
      <c r="AA660" s="77"/>
      <c r="AB660" s="77"/>
      <c r="AC660" s="77"/>
      <c r="AD660" s="77"/>
    </row>
    <row r="661" spans="22:30" x14ac:dyDescent="0.35">
      <c r="V661" s="77"/>
      <c r="W661" s="77"/>
      <c r="X661" s="77"/>
      <c r="Y661" s="77"/>
      <c r="Z661" s="77"/>
      <c r="AA661" s="77"/>
      <c r="AB661" s="77"/>
      <c r="AC661" s="77"/>
      <c r="AD661" s="77"/>
    </row>
    <row r="662" spans="22:30" x14ac:dyDescent="0.35">
      <c r="V662" s="77"/>
      <c r="W662" s="77"/>
      <c r="X662" s="77"/>
      <c r="Y662" s="77"/>
      <c r="Z662" s="77"/>
      <c r="AA662" s="77"/>
      <c r="AB662" s="77"/>
      <c r="AC662" s="77"/>
      <c r="AD662" s="77"/>
    </row>
    <row r="663" spans="22:30" x14ac:dyDescent="0.35">
      <c r="V663" s="77"/>
      <c r="W663" s="77"/>
      <c r="X663" s="77"/>
      <c r="Y663" s="77"/>
      <c r="Z663" s="77"/>
      <c r="AA663" s="77"/>
      <c r="AB663" s="77"/>
      <c r="AC663" s="77"/>
      <c r="AD663" s="77"/>
    </row>
    <row r="664" spans="22:30" x14ac:dyDescent="0.35">
      <c r="V664" s="77"/>
      <c r="W664" s="77"/>
      <c r="X664" s="77"/>
      <c r="Y664" s="77"/>
      <c r="Z664" s="77"/>
      <c r="AA664" s="77"/>
      <c r="AB664" s="77"/>
      <c r="AC664" s="77"/>
      <c r="AD664" s="77"/>
    </row>
    <row r="665" spans="22:30" x14ac:dyDescent="0.35">
      <c r="V665" s="77"/>
      <c r="W665" s="77"/>
      <c r="X665" s="77"/>
      <c r="Y665" s="77"/>
      <c r="Z665" s="77"/>
      <c r="AA665" s="77"/>
      <c r="AB665" s="77"/>
      <c r="AC665" s="77"/>
      <c r="AD665" s="77"/>
    </row>
    <row r="666" spans="22:30" x14ac:dyDescent="0.35">
      <c r="V666" s="77"/>
      <c r="W666" s="77"/>
      <c r="X666" s="77"/>
      <c r="Y666" s="77"/>
      <c r="Z666" s="77"/>
      <c r="AA666" s="77"/>
      <c r="AB666" s="77"/>
      <c r="AC666" s="77"/>
      <c r="AD666" s="77"/>
    </row>
    <row r="667" spans="22:30" x14ac:dyDescent="0.35">
      <c r="V667" s="77"/>
      <c r="W667" s="77"/>
      <c r="X667" s="77"/>
      <c r="Y667" s="77"/>
      <c r="Z667" s="77"/>
      <c r="AA667" s="77"/>
      <c r="AB667" s="77"/>
      <c r="AC667" s="77"/>
      <c r="AD667" s="77"/>
    </row>
    <row r="668" spans="22:30" x14ac:dyDescent="0.35">
      <c r="V668" s="77"/>
      <c r="W668" s="77"/>
      <c r="X668" s="77"/>
      <c r="Y668" s="77"/>
      <c r="Z668" s="77"/>
      <c r="AA668" s="77"/>
      <c r="AB668" s="77"/>
      <c r="AC668" s="77"/>
      <c r="AD668" s="77"/>
    </row>
    <row r="669" spans="22:30" x14ac:dyDescent="0.35">
      <c r="V669" s="77"/>
      <c r="W669" s="77"/>
      <c r="X669" s="77"/>
      <c r="Y669" s="77"/>
      <c r="Z669" s="77"/>
      <c r="AA669" s="77"/>
      <c r="AB669" s="77"/>
      <c r="AC669" s="77"/>
      <c r="AD669" s="77"/>
    </row>
    <row r="670" spans="22:30" x14ac:dyDescent="0.35">
      <c r="V670" s="77"/>
      <c r="W670" s="77"/>
      <c r="X670" s="77"/>
      <c r="Y670" s="77"/>
      <c r="Z670" s="77"/>
      <c r="AA670" s="77"/>
      <c r="AB670" s="77"/>
      <c r="AC670" s="77"/>
      <c r="AD670" s="77"/>
    </row>
    <row r="671" spans="22:30" x14ac:dyDescent="0.35">
      <c r="V671" s="77"/>
      <c r="W671" s="77"/>
      <c r="X671" s="77"/>
      <c r="Y671" s="77"/>
      <c r="Z671" s="77"/>
      <c r="AA671" s="77"/>
      <c r="AB671" s="77"/>
      <c r="AC671" s="77"/>
      <c r="AD671" s="77"/>
    </row>
    <row r="672" spans="22:30" x14ac:dyDescent="0.35">
      <c r="V672" s="77"/>
      <c r="W672" s="77"/>
      <c r="X672" s="77"/>
      <c r="Y672" s="77"/>
      <c r="Z672" s="77"/>
      <c r="AA672" s="77"/>
      <c r="AB672" s="77"/>
      <c r="AC672" s="77"/>
      <c r="AD672" s="77"/>
    </row>
    <row r="673" spans="22:30" x14ac:dyDescent="0.35">
      <c r="V673" s="77"/>
      <c r="W673" s="77"/>
      <c r="X673" s="77"/>
      <c r="Y673" s="77"/>
      <c r="Z673" s="77"/>
      <c r="AA673" s="77"/>
      <c r="AB673" s="77"/>
      <c r="AC673" s="77"/>
      <c r="AD673" s="77"/>
    </row>
    <row r="674" spans="22:30" x14ac:dyDescent="0.35">
      <c r="V674" s="77"/>
      <c r="W674" s="77"/>
      <c r="X674" s="77"/>
      <c r="Y674" s="77"/>
      <c r="Z674" s="77"/>
      <c r="AA674" s="77"/>
      <c r="AB674" s="77"/>
      <c r="AC674" s="77"/>
      <c r="AD674" s="77"/>
    </row>
    <row r="675" spans="22:30" x14ac:dyDescent="0.35">
      <c r="V675" s="77"/>
      <c r="W675" s="77"/>
      <c r="X675" s="77"/>
      <c r="Y675" s="77"/>
      <c r="Z675" s="77"/>
      <c r="AA675" s="77"/>
      <c r="AB675" s="77"/>
      <c r="AC675" s="77"/>
      <c r="AD675" s="77"/>
    </row>
    <row r="676" spans="22:30" x14ac:dyDescent="0.35">
      <c r="V676" s="77"/>
      <c r="W676" s="77"/>
      <c r="X676" s="77"/>
      <c r="Y676" s="77"/>
      <c r="Z676" s="77"/>
      <c r="AA676" s="77"/>
      <c r="AB676" s="77"/>
      <c r="AC676" s="77"/>
      <c r="AD676" s="77"/>
    </row>
    <row r="677" spans="22:30" x14ac:dyDescent="0.35">
      <c r="V677" s="77"/>
      <c r="W677" s="77"/>
      <c r="X677" s="77"/>
      <c r="Y677" s="77"/>
      <c r="Z677" s="77"/>
      <c r="AA677" s="77"/>
      <c r="AB677" s="77"/>
      <c r="AC677" s="77"/>
      <c r="AD677" s="77"/>
    </row>
    <row r="678" spans="22:30" x14ac:dyDescent="0.35">
      <c r="V678" s="77"/>
      <c r="W678" s="77"/>
      <c r="X678" s="77"/>
      <c r="Y678" s="77"/>
      <c r="Z678" s="77"/>
      <c r="AA678" s="77"/>
      <c r="AB678" s="77"/>
      <c r="AC678" s="77"/>
      <c r="AD678" s="77"/>
    </row>
    <row r="679" spans="22:30" x14ac:dyDescent="0.35">
      <c r="V679" s="77"/>
      <c r="W679" s="77"/>
      <c r="X679" s="77"/>
      <c r="Y679" s="77"/>
      <c r="Z679" s="77"/>
      <c r="AA679" s="77"/>
      <c r="AB679" s="77"/>
      <c r="AC679" s="77"/>
      <c r="AD679" s="77"/>
    </row>
    <row r="680" spans="22:30" x14ac:dyDescent="0.35">
      <c r="V680" s="77"/>
      <c r="W680" s="77"/>
      <c r="X680" s="77"/>
      <c r="Y680" s="77"/>
      <c r="Z680" s="77"/>
      <c r="AA680" s="77"/>
      <c r="AB680" s="77"/>
      <c r="AC680" s="77"/>
      <c r="AD680" s="77"/>
    </row>
    <row r="681" spans="22:30" x14ac:dyDescent="0.35">
      <c r="V681" s="77"/>
      <c r="W681" s="77"/>
      <c r="X681" s="77"/>
      <c r="Y681" s="77"/>
      <c r="Z681" s="77"/>
      <c r="AA681" s="77"/>
      <c r="AB681" s="77"/>
      <c r="AC681" s="77"/>
      <c r="AD681" s="77"/>
    </row>
    <row r="682" spans="22:30" x14ac:dyDescent="0.35">
      <c r="V682" s="77"/>
      <c r="W682" s="77"/>
      <c r="X682" s="77"/>
      <c r="Y682" s="77"/>
      <c r="Z682" s="77"/>
      <c r="AA682" s="77"/>
      <c r="AB682" s="77"/>
      <c r="AC682" s="77"/>
      <c r="AD682" s="77"/>
    </row>
    <row r="683" spans="22:30" x14ac:dyDescent="0.35">
      <c r="V683" s="77"/>
      <c r="W683" s="77"/>
      <c r="X683" s="77"/>
      <c r="Y683" s="77"/>
      <c r="Z683" s="77"/>
      <c r="AA683" s="77"/>
      <c r="AB683" s="77"/>
      <c r="AC683" s="77"/>
      <c r="AD683" s="77"/>
    </row>
    <row r="684" spans="22:30" x14ac:dyDescent="0.35">
      <c r="V684" s="77"/>
      <c r="W684" s="77"/>
      <c r="X684" s="77"/>
      <c r="Y684" s="77"/>
      <c r="Z684" s="77"/>
      <c r="AA684" s="77"/>
      <c r="AB684" s="77"/>
      <c r="AC684" s="77"/>
      <c r="AD684" s="77"/>
    </row>
    <row r="685" spans="22:30" x14ac:dyDescent="0.35">
      <c r="V685" s="77"/>
      <c r="W685" s="77"/>
      <c r="X685" s="77"/>
      <c r="Y685" s="77"/>
      <c r="Z685" s="77"/>
      <c r="AA685" s="77"/>
      <c r="AB685" s="77"/>
      <c r="AC685" s="77"/>
      <c r="AD685" s="77"/>
    </row>
    <row r="686" spans="22:30" x14ac:dyDescent="0.35">
      <c r="V686" s="77"/>
      <c r="W686" s="77"/>
      <c r="X686" s="77"/>
      <c r="Y686" s="77"/>
      <c r="Z686" s="77"/>
      <c r="AA686" s="77"/>
      <c r="AB686" s="77"/>
      <c r="AC686" s="77"/>
      <c r="AD686" s="77"/>
    </row>
    <row r="687" spans="22:30" x14ac:dyDescent="0.35">
      <c r="V687" s="77"/>
      <c r="W687" s="77"/>
      <c r="X687" s="77"/>
      <c r="Y687" s="77"/>
      <c r="Z687" s="77"/>
      <c r="AA687" s="77"/>
      <c r="AB687" s="77"/>
      <c r="AC687" s="77"/>
      <c r="AD687" s="77"/>
    </row>
    <row r="688" spans="22:30" x14ac:dyDescent="0.35">
      <c r="V688" s="77"/>
      <c r="W688" s="77"/>
      <c r="X688" s="77"/>
      <c r="Y688" s="77"/>
      <c r="Z688" s="77"/>
      <c r="AA688" s="77"/>
      <c r="AB688" s="77"/>
      <c r="AC688" s="77"/>
      <c r="AD688" s="77"/>
    </row>
    <row r="689" spans="22:30" x14ac:dyDescent="0.35">
      <c r="V689" s="77"/>
      <c r="W689" s="77"/>
      <c r="X689" s="77"/>
      <c r="Y689" s="77"/>
      <c r="Z689" s="77"/>
      <c r="AA689" s="77"/>
      <c r="AB689" s="77"/>
      <c r="AC689" s="77"/>
      <c r="AD689" s="77"/>
    </row>
    <row r="690" spans="22:30" x14ac:dyDescent="0.35">
      <c r="V690" s="77"/>
      <c r="W690" s="77"/>
      <c r="X690" s="77"/>
      <c r="Y690" s="77"/>
      <c r="Z690" s="77"/>
      <c r="AA690" s="77"/>
      <c r="AB690" s="77"/>
      <c r="AC690" s="77"/>
      <c r="AD690" s="77"/>
    </row>
    <row r="691" spans="22:30" x14ac:dyDescent="0.35">
      <c r="V691" s="77"/>
      <c r="W691" s="77"/>
      <c r="X691" s="77"/>
      <c r="Y691" s="77"/>
      <c r="Z691" s="77"/>
      <c r="AA691" s="77"/>
      <c r="AB691" s="77"/>
      <c r="AC691" s="77"/>
      <c r="AD691" s="77"/>
    </row>
    <row r="692" spans="22:30" x14ac:dyDescent="0.35">
      <c r="V692" s="77"/>
      <c r="W692" s="77"/>
      <c r="X692" s="77"/>
      <c r="Y692" s="77"/>
      <c r="Z692" s="77"/>
      <c r="AA692" s="77"/>
      <c r="AB692" s="77"/>
      <c r="AC692" s="77"/>
      <c r="AD692" s="77"/>
    </row>
    <row r="693" spans="22:30" x14ac:dyDescent="0.35">
      <c r="V693" s="77"/>
      <c r="W693" s="77"/>
      <c r="X693" s="77"/>
      <c r="Y693" s="77"/>
      <c r="Z693" s="77"/>
      <c r="AA693" s="77"/>
      <c r="AB693" s="77"/>
      <c r="AC693" s="77"/>
      <c r="AD693" s="77"/>
    </row>
    <row r="694" spans="22:30" x14ac:dyDescent="0.35">
      <c r="V694" s="77"/>
      <c r="W694" s="77"/>
      <c r="X694" s="77"/>
      <c r="Y694" s="77"/>
      <c r="Z694" s="77"/>
      <c r="AA694" s="77"/>
      <c r="AB694" s="77"/>
      <c r="AC694" s="77"/>
      <c r="AD694" s="77"/>
    </row>
    <row r="695" spans="22:30" x14ac:dyDescent="0.35">
      <c r="V695" s="77"/>
      <c r="W695" s="77"/>
      <c r="X695" s="77"/>
      <c r="Y695" s="77"/>
      <c r="Z695" s="77"/>
      <c r="AA695" s="77"/>
      <c r="AB695" s="77"/>
      <c r="AC695" s="77"/>
      <c r="AD695" s="77"/>
    </row>
    <row r="696" spans="22:30" x14ac:dyDescent="0.35">
      <c r="V696" s="77"/>
      <c r="W696" s="77"/>
      <c r="X696" s="77"/>
      <c r="Y696" s="77"/>
      <c r="Z696" s="77"/>
      <c r="AA696" s="77"/>
      <c r="AB696" s="77"/>
      <c r="AC696" s="77"/>
      <c r="AD696" s="77"/>
    </row>
    <row r="697" spans="22:30" x14ac:dyDescent="0.35">
      <c r="V697" s="77"/>
      <c r="W697" s="77"/>
      <c r="X697" s="77"/>
      <c r="Y697" s="77"/>
      <c r="Z697" s="77"/>
      <c r="AA697" s="77"/>
      <c r="AB697" s="77"/>
      <c r="AC697" s="77"/>
      <c r="AD697" s="77"/>
    </row>
    <row r="698" spans="22:30" x14ac:dyDescent="0.35">
      <c r="V698" s="77"/>
      <c r="W698" s="77"/>
      <c r="X698" s="77"/>
      <c r="Y698" s="77"/>
      <c r="Z698" s="77"/>
      <c r="AA698" s="77"/>
      <c r="AB698" s="77"/>
      <c r="AC698" s="77"/>
      <c r="AD698" s="77"/>
    </row>
    <row r="699" spans="22:30" x14ac:dyDescent="0.35">
      <c r="V699" s="77"/>
      <c r="W699" s="77"/>
      <c r="X699" s="77"/>
      <c r="Y699" s="77"/>
      <c r="Z699" s="77"/>
      <c r="AA699" s="77"/>
      <c r="AB699" s="77"/>
      <c r="AC699" s="77"/>
      <c r="AD699" s="77"/>
    </row>
    <row r="700" spans="22:30" x14ac:dyDescent="0.35">
      <c r="V700" s="77"/>
      <c r="W700" s="77"/>
      <c r="X700" s="77"/>
      <c r="Y700" s="77"/>
      <c r="Z700" s="77"/>
      <c r="AA700" s="77"/>
      <c r="AB700" s="77"/>
      <c r="AC700" s="77"/>
      <c r="AD700" s="77"/>
    </row>
    <row r="701" spans="22:30" x14ac:dyDescent="0.35">
      <c r="V701" s="77"/>
      <c r="W701" s="77"/>
      <c r="X701" s="77"/>
      <c r="Y701" s="77"/>
      <c r="Z701" s="77"/>
      <c r="AA701" s="77"/>
      <c r="AB701" s="77"/>
      <c r="AC701" s="77"/>
      <c r="AD701" s="77"/>
    </row>
    <row r="702" spans="22:30" x14ac:dyDescent="0.35">
      <c r="V702" s="77"/>
      <c r="W702" s="77"/>
      <c r="X702" s="77"/>
      <c r="Y702" s="77"/>
      <c r="Z702" s="77"/>
      <c r="AA702" s="77"/>
      <c r="AB702" s="77"/>
      <c r="AC702" s="77"/>
      <c r="AD702" s="77"/>
    </row>
    <row r="703" spans="22:30" x14ac:dyDescent="0.35">
      <c r="V703" s="77"/>
      <c r="W703" s="77"/>
      <c r="X703" s="77"/>
      <c r="Y703" s="77"/>
      <c r="Z703" s="77"/>
      <c r="AA703" s="77"/>
      <c r="AB703" s="77"/>
      <c r="AC703" s="77"/>
      <c r="AD703" s="77"/>
    </row>
    <row r="704" spans="22:30" x14ac:dyDescent="0.35">
      <c r="V704" s="77"/>
      <c r="W704" s="77"/>
      <c r="X704" s="77"/>
      <c r="Y704" s="77"/>
      <c r="Z704" s="77"/>
      <c r="AA704" s="77"/>
      <c r="AB704" s="77"/>
      <c r="AC704" s="77"/>
      <c r="AD704" s="77"/>
    </row>
    <row r="705" spans="22:30" x14ac:dyDescent="0.35">
      <c r="V705" s="77"/>
      <c r="W705" s="77"/>
      <c r="X705" s="77"/>
      <c r="Y705" s="77"/>
      <c r="Z705" s="77"/>
      <c r="AA705" s="77"/>
      <c r="AB705" s="77"/>
      <c r="AC705" s="77"/>
      <c r="AD705" s="77"/>
    </row>
    <row r="706" spans="22:30" x14ac:dyDescent="0.35">
      <c r="V706" s="77"/>
      <c r="W706" s="77"/>
      <c r="X706" s="77"/>
      <c r="Y706" s="77"/>
      <c r="Z706" s="77"/>
      <c r="AA706" s="77"/>
      <c r="AB706" s="77"/>
      <c r="AC706" s="77"/>
      <c r="AD706" s="77"/>
    </row>
    <row r="707" spans="22:30" x14ac:dyDescent="0.35">
      <c r="V707" s="77"/>
      <c r="W707" s="77"/>
      <c r="X707" s="77"/>
      <c r="Y707" s="77"/>
      <c r="Z707" s="77"/>
      <c r="AA707" s="77"/>
      <c r="AB707" s="77"/>
      <c r="AC707" s="77"/>
      <c r="AD707" s="77"/>
    </row>
    <row r="708" spans="22:30" x14ac:dyDescent="0.35">
      <c r="V708" s="77"/>
      <c r="W708" s="77"/>
      <c r="X708" s="77"/>
      <c r="Y708" s="77"/>
      <c r="Z708" s="77"/>
      <c r="AA708" s="77"/>
      <c r="AB708" s="77"/>
      <c r="AC708" s="77"/>
      <c r="AD708" s="77"/>
    </row>
    <row r="709" spans="22:30" x14ac:dyDescent="0.35">
      <c r="V709" s="77"/>
      <c r="W709" s="77"/>
      <c r="X709" s="77"/>
      <c r="Y709" s="77"/>
      <c r="Z709" s="77"/>
      <c r="AA709" s="77"/>
      <c r="AB709" s="77"/>
      <c r="AC709" s="77"/>
      <c r="AD709" s="77"/>
    </row>
    <row r="710" spans="22:30" x14ac:dyDescent="0.35">
      <c r="V710" s="77"/>
      <c r="W710" s="77"/>
      <c r="X710" s="77"/>
      <c r="Y710" s="77"/>
      <c r="Z710" s="77"/>
      <c r="AA710" s="77"/>
      <c r="AB710" s="77"/>
      <c r="AC710" s="77"/>
      <c r="AD710" s="77"/>
    </row>
    <row r="711" spans="22:30" x14ac:dyDescent="0.35">
      <c r="V711" s="77"/>
      <c r="W711" s="77"/>
      <c r="X711" s="77"/>
      <c r="Y711" s="77"/>
      <c r="Z711" s="77"/>
      <c r="AA711" s="77"/>
      <c r="AB711" s="77"/>
      <c r="AC711" s="77"/>
      <c r="AD711" s="77"/>
    </row>
    <row r="712" spans="22:30" x14ac:dyDescent="0.35">
      <c r="V712" s="77"/>
      <c r="W712" s="77"/>
      <c r="X712" s="77"/>
      <c r="Y712" s="77"/>
      <c r="Z712" s="77"/>
      <c r="AA712" s="77"/>
      <c r="AB712" s="77"/>
      <c r="AC712" s="77"/>
      <c r="AD712" s="77"/>
    </row>
    <row r="713" spans="22:30" x14ac:dyDescent="0.35">
      <c r="V713" s="77"/>
      <c r="W713" s="77"/>
      <c r="X713" s="77"/>
      <c r="Y713" s="77"/>
      <c r="Z713" s="77"/>
      <c r="AA713" s="77"/>
      <c r="AB713" s="77"/>
      <c r="AC713" s="77"/>
      <c r="AD713" s="77"/>
    </row>
    <row r="714" spans="22:30" x14ac:dyDescent="0.35">
      <c r="V714" s="77"/>
      <c r="W714" s="77"/>
      <c r="X714" s="77"/>
      <c r="Y714" s="77"/>
      <c r="Z714" s="77"/>
      <c r="AA714" s="77"/>
      <c r="AB714" s="77"/>
      <c r="AC714" s="77"/>
      <c r="AD714" s="77"/>
    </row>
    <row r="715" spans="22:30" x14ac:dyDescent="0.35">
      <c r="V715" s="77"/>
      <c r="W715" s="77"/>
      <c r="X715" s="77"/>
      <c r="Y715" s="77"/>
      <c r="Z715" s="77"/>
      <c r="AA715" s="77"/>
      <c r="AB715" s="77"/>
      <c r="AC715" s="77"/>
      <c r="AD715" s="77"/>
    </row>
    <row r="716" spans="22:30" x14ac:dyDescent="0.35">
      <c r="V716" s="77"/>
      <c r="W716" s="77"/>
      <c r="X716" s="77"/>
      <c r="Y716" s="77"/>
      <c r="Z716" s="77"/>
      <c r="AA716" s="77"/>
      <c r="AB716" s="77"/>
      <c r="AC716" s="77"/>
      <c r="AD716" s="77"/>
    </row>
    <row r="717" spans="22:30" x14ac:dyDescent="0.35">
      <c r="V717" s="77"/>
      <c r="W717" s="77"/>
      <c r="X717" s="77"/>
      <c r="Y717" s="77"/>
      <c r="Z717" s="77"/>
      <c r="AA717" s="77"/>
      <c r="AB717" s="77"/>
      <c r="AC717" s="77"/>
      <c r="AD717" s="77"/>
    </row>
    <row r="718" spans="22:30" x14ac:dyDescent="0.35">
      <c r="V718" s="77"/>
      <c r="W718" s="77"/>
      <c r="X718" s="77"/>
      <c r="Y718" s="77"/>
      <c r="Z718" s="77"/>
      <c r="AA718" s="77"/>
      <c r="AB718" s="77"/>
      <c r="AC718" s="77"/>
      <c r="AD718" s="77"/>
    </row>
    <row r="719" spans="22:30" x14ac:dyDescent="0.35">
      <c r="V719" s="77"/>
      <c r="W719" s="77"/>
      <c r="X719" s="77"/>
      <c r="Y719" s="77"/>
      <c r="Z719" s="77"/>
      <c r="AA719" s="77"/>
      <c r="AB719" s="77"/>
      <c r="AC719" s="77"/>
      <c r="AD719" s="77"/>
    </row>
    <row r="720" spans="22:30" x14ac:dyDescent="0.35">
      <c r="V720" s="77"/>
      <c r="W720" s="77"/>
      <c r="X720" s="77"/>
      <c r="Y720" s="77"/>
      <c r="Z720" s="77"/>
      <c r="AA720" s="77"/>
      <c r="AB720" s="77"/>
      <c r="AC720" s="77"/>
      <c r="AD720" s="77"/>
    </row>
    <row r="721" spans="22:30" x14ac:dyDescent="0.35">
      <c r="V721" s="77"/>
      <c r="W721" s="77"/>
      <c r="X721" s="77"/>
      <c r="Y721" s="77"/>
      <c r="Z721" s="77"/>
      <c r="AA721" s="77"/>
      <c r="AB721" s="77"/>
      <c r="AC721" s="77"/>
      <c r="AD721" s="77"/>
    </row>
    <row r="722" spans="22:30" x14ac:dyDescent="0.35">
      <c r="V722" s="77"/>
      <c r="W722" s="77"/>
      <c r="X722" s="77"/>
      <c r="Y722" s="77"/>
      <c r="Z722" s="77"/>
      <c r="AA722" s="77"/>
      <c r="AB722" s="77"/>
      <c r="AC722" s="77"/>
      <c r="AD722" s="77"/>
    </row>
    <row r="723" spans="22:30" x14ac:dyDescent="0.35">
      <c r="V723" s="77"/>
      <c r="W723" s="77"/>
      <c r="X723" s="77"/>
      <c r="Y723" s="77"/>
      <c r="Z723" s="77"/>
      <c r="AA723" s="77"/>
      <c r="AB723" s="77"/>
      <c r="AC723" s="77"/>
      <c r="AD723" s="77"/>
    </row>
    <row r="724" spans="22:30" x14ac:dyDescent="0.35">
      <c r="V724" s="77"/>
      <c r="W724" s="77"/>
      <c r="X724" s="77"/>
      <c r="Y724" s="77"/>
      <c r="Z724" s="77"/>
      <c r="AA724" s="77"/>
      <c r="AB724" s="77"/>
      <c r="AC724" s="77"/>
      <c r="AD724" s="77"/>
    </row>
    <row r="725" spans="22:30" x14ac:dyDescent="0.35">
      <c r="V725" s="77"/>
      <c r="W725" s="77"/>
      <c r="X725" s="77"/>
      <c r="Y725" s="77"/>
      <c r="Z725" s="77"/>
      <c r="AA725" s="77"/>
      <c r="AB725" s="77"/>
      <c r="AC725" s="77"/>
      <c r="AD725" s="77"/>
    </row>
    <row r="726" spans="22:30" x14ac:dyDescent="0.35">
      <c r="V726" s="77"/>
      <c r="W726" s="77"/>
      <c r="X726" s="77"/>
      <c r="Y726" s="77"/>
      <c r="Z726" s="77"/>
      <c r="AA726" s="77"/>
      <c r="AB726" s="77"/>
      <c r="AC726" s="77"/>
      <c r="AD726" s="77"/>
    </row>
    <row r="727" spans="22:30" x14ac:dyDescent="0.35">
      <c r="V727" s="77"/>
      <c r="W727" s="77"/>
      <c r="X727" s="77"/>
      <c r="Y727" s="77"/>
      <c r="Z727" s="77"/>
      <c r="AA727" s="77"/>
      <c r="AB727" s="77"/>
      <c r="AC727" s="77"/>
      <c r="AD727" s="77"/>
    </row>
    <row r="728" spans="22:30" x14ac:dyDescent="0.35">
      <c r="V728" s="77"/>
      <c r="W728" s="77"/>
      <c r="X728" s="77"/>
      <c r="Y728" s="77"/>
      <c r="Z728" s="77"/>
      <c r="AA728" s="77"/>
      <c r="AB728" s="77"/>
      <c r="AC728" s="77"/>
      <c r="AD728" s="77"/>
    </row>
    <row r="729" spans="22:30" x14ac:dyDescent="0.35">
      <c r="V729" s="77"/>
      <c r="W729" s="77"/>
      <c r="X729" s="77"/>
      <c r="Y729" s="77"/>
      <c r="Z729" s="77"/>
      <c r="AA729" s="77"/>
      <c r="AB729" s="77"/>
      <c r="AC729" s="77"/>
      <c r="AD729" s="77"/>
    </row>
    <row r="730" spans="22:30" x14ac:dyDescent="0.35">
      <c r="V730" s="77"/>
      <c r="W730" s="77"/>
      <c r="X730" s="77"/>
      <c r="Y730" s="77"/>
      <c r="Z730" s="77"/>
      <c r="AA730" s="77"/>
      <c r="AB730" s="77"/>
      <c r="AC730" s="77"/>
      <c r="AD730" s="77"/>
    </row>
    <row r="731" spans="22:30" x14ac:dyDescent="0.35">
      <c r="V731" s="77"/>
      <c r="W731" s="77"/>
      <c r="X731" s="77"/>
      <c r="Y731" s="77"/>
      <c r="Z731" s="77"/>
      <c r="AA731" s="77"/>
      <c r="AB731" s="77"/>
      <c r="AC731" s="77"/>
      <c r="AD731" s="77"/>
    </row>
    <row r="732" spans="22:30" x14ac:dyDescent="0.35">
      <c r="V732" s="77"/>
      <c r="W732" s="77"/>
      <c r="X732" s="77"/>
      <c r="Y732" s="77"/>
      <c r="Z732" s="77"/>
      <c r="AA732" s="77"/>
      <c r="AB732" s="77"/>
      <c r="AC732" s="77"/>
      <c r="AD732" s="77"/>
    </row>
    <row r="733" spans="22:30" x14ac:dyDescent="0.35">
      <c r="V733" s="77"/>
      <c r="W733" s="77"/>
      <c r="X733" s="77"/>
      <c r="Y733" s="77"/>
      <c r="Z733" s="77"/>
      <c r="AA733" s="77"/>
      <c r="AB733" s="77"/>
      <c r="AC733" s="77"/>
      <c r="AD733" s="77"/>
    </row>
    <row r="734" spans="22:30" x14ac:dyDescent="0.35">
      <c r="V734" s="77"/>
      <c r="W734" s="77"/>
      <c r="X734" s="77"/>
      <c r="Y734" s="77"/>
      <c r="Z734" s="77"/>
      <c r="AA734" s="77"/>
      <c r="AB734" s="77"/>
      <c r="AC734" s="77"/>
      <c r="AD734" s="77"/>
    </row>
    <row r="735" spans="22:30" x14ac:dyDescent="0.35">
      <c r="V735" s="77"/>
      <c r="W735" s="77"/>
      <c r="X735" s="77"/>
      <c r="Y735" s="77"/>
      <c r="Z735" s="77"/>
      <c r="AA735" s="77"/>
      <c r="AB735" s="77"/>
      <c r="AC735" s="77"/>
      <c r="AD735" s="77"/>
    </row>
    <row r="736" spans="22:30" x14ac:dyDescent="0.35">
      <c r="V736" s="77"/>
      <c r="W736" s="77"/>
      <c r="X736" s="77"/>
      <c r="Y736" s="77"/>
      <c r="Z736" s="77"/>
      <c r="AA736" s="77"/>
      <c r="AB736" s="77"/>
      <c r="AC736" s="77"/>
      <c r="AD736" s="77"/>
    </row>
    <row r="737" spans="22:30" x14ac:dyDescent="0.35">
      <c r="V737" s="77"/>
      <c r="W737" s="77"/>
      <c r="X737" s="77"/>
      <c r="Y737" s="77"/>
      <c r="Z737" s="77"/>
      <c r="AA737" s="77"/>
      <c r="AB737" s="77"/>
      <c r="AC737" s="77"/>
      <c r="AD737" s="77"/>
    </row>
    <row r="738" spans="22:30" x14ac:dyDescent="0.35">
      <c r="V738" s="77"/>
      <c r="W738" s="77"/>
      <c r="X738" s="77"/>
      <c r="Y738" s="77"/>
      <c r="Z738" s="77"/>
      <c r="AA738" s="77"/>
      <c r="AB738" s="77"/>
      <c r="AC738" s="77"/>
      <c r="AD738" s="77"/>
    </row>
    <row r="739" spans="22:30" x14ac:dyDescent="0.35">
      <c r="V739" s="77"/>
      <c r="W739" s="77"/>
      <c r="X739" s="77"/>
      <c r="Y739" s="77"/>
      <c r="Z739" s="77"/>
      <c r="AA739" s="77"/>
      <c r="AB739" s="77"/>
      <c r="AC739" s="77"/>
      <c r="AD739" s="77"/>
    </row>
    <row r="740" spans="22:30" x14ac:dyDescent="0.35">
      <c r="V740" s="77"/>
      <c r="W740" s="77"/>
      <c r="X740" s="77"/>
      <c r="Y740" s="77"/>
      <c r="Z740" s="77"/>
      <c r="AA740" s="77"/>
      <c r="AB740" s="77"/>
      <c r="AC740" s="77"/>
      <c r="AD740" s="77"/>
    </row>
    <row r="741" spans="22:30" x14ac:dyDescent="0.35">
      <c r="V741" s="77"/>
      <c r="W741" s="77"/>
      <c r="X741" s="77"/>
      <c r="Y741" s="77"/>
      <c r="Z741" s="77"/>
      <c r="AA741" s="77"/>
      <c r="AB741" s="77"/>
      <c r="AC741" s="77"/>
      <c r="AD741" s="77"/>
    </row>
    <row r="742" spans="22:30" x14ac:dyDescent="0.35">
      <c r="V742" s="77"/>
      <c r="W742" s="77"/>
      <c r="X742" s="77"/>
      <c r="Y742" s="77"/>
      <c r="Z742" s="77"/>
      <c r="AA742" s="77"/>
      <c r="AB742" s="77"/>
      <c r="AC742" s="77"/>
      <c r="AD742" s="77"/>
    </row>
    <row r="743" spans="22:30" x14ac:dyDescent="0.35">
      <c r="V743" s="77"/>
      <c r="W743" s="77"/>
      <c r="X743" s="77"/>
      <c r="Y743" s="77"/>
      <c r="Z743" s="77"/>
      <c r="AA743" s="77"/>
      <c r="AB743" s="77"/>
      <c r="AC743" s="77"/>
      <c r="AD743" s="77"/>
    </row>
    <row r="744" spans="22:30" x14ac:dyDescent="0.35">
      <c r="V744" s="77"/>
      <c r="W744" s="77"/>
      <c r="X744" s="77"/>
      <c r="Y744" s="77"/>
      <c r="Z744" s="77"/>
      <c r="AA744" s="77"/>
      <c r="AB744" s="77"/>
      <c r="AC744" s="77"/>
      <c r="AD744" s="77"/>
    </row>
    <row r="745" spans="22:30" x14ac:dyDescent="0.35">
      <c r="V745" s="77"/>
      <c r="W745" s="77"/>
      <c r="X745" s="77"/>
      <c r="Y745" s="77"/>
      <c r="Z745" s="77"/>
      <c r="AA745" s="77"/>
      <c r="AB745" s="77"/>
      <c r="AC745" s="77"/>
      <c r="AD745" s="77"/>
    </row>
    <row r="746" spans="22:30" x14ac:dyDescent="0.35">
      <c r="V746" s="77"/>
      <c r="W746" s="77"/>
      <c r="X746" s="77"/>
      <c r="Y746" s="77"/>
      <c r="Z746" s="77"/>
      <c r="AA746" s="77"/>
      <c r="AB746" s="77"/>
      <c r="AC746" s="77"/>
      <c r="AD746" s="77"/>
    </row>
    <row r="747" spans="22:30" x14ac:dyDescent="0.35">
      <c r="V747" s="77"/>
      <c r="W747" s="77"/>
      <c r="X747" s="77"/>
      <c r="Y747" s="77"/>
      <c r="Z747" s="77"/>
      <c r="AA747" s="77"/>
      <c r="AB747" s="77"/>
      <c r="AC747" s="77"/>
      <c r="AD747" s="77"/>
    </row>
    <row r="748" spans="22:30" x14ac:dyDescent="0.35">
      <c r="V748" s="77"/>
      <c r="W748" s="77"/>
      <c r="X748" s="77"/>
      <c r="Y748" s="77"/>
      <c r="Z748" s="77"/>
      <c r="AA748" s="77"/>
      <c r="AB748" s="77"/>
      <c r="AC748" s="77"/>
      <c r="AD748" s="77"/>
    </row>
    <row r="749" spans="22:30" x14ac:dyDescent="0.35">
      <c r="V749" s="77"/>
      <c r="W749" s="77"/>
      <c r="X749" s="77"/>
      <c r="Y749" s="77"/>
      <c r="Z749" s="77"/>
      <c r="AA749" s="77"/>
      <c r="AB749" s="77"/>
      <c r="AC749" s="77"/>
      <c r="AD749" s="77"/>
    </row>
    <row r="750" spans="22:30" x14ac:dyDescent="0.35">
      <c r="V750" s="77"/>
      <c r="W750" s="77"/>
      <c r="X750" s="77"/>
      <c r="Y750" s="77"/>
      <c r="Z750" s="77"/>
      <c r="AA750" s="77"/>
      <c r="AB750" s="77"/>
      <c r="AC750" s="77"/>
      <c r="AD750" s="77"/>
    </row>
    <row r="751" spans="22:30" x14ac:dyDescent="0.35">
      <c r="V751" s="77"/>
      <c r="W751" s="77"/>
      <c r="X751" s="77"/>
      <c r="Y751" s="77"/>
      <c r="Z751" s="77"/>
      <c r="AA751" s="77"/>
      <c r="AB751" s="77"/>
      <c r="AC751" s="77"/>
      <c r="AD751" s="77"/>
    </row>
    <row r="752" spans="22:30" x14ac:dyDescent="0.35">
      <c r="V752" s="77"/>
      <c r="W752" s="77"/>
      <c r="X752" s="77"/>
      <c r="Y752" s="77"/>
      <c r="Z752" s="77"/>
      <c r="AA752" s="77"/>
      <c r="AB752" s="77"/>
      <c r="AC752" s="77"/>
      <c r="AD752" s="77"/>
    </row>
    <row r="753" spans="22:30" x14ac:dyDescent="0.35">
      <c r="V753" s="77"/>
      <c r="W753" s="77"/>
      <c r="X753" s="77"/>
      <c r="Y753" s="77"/>
      <c r="Z753" s="77"/>
      <c r="AA753" s="77"/>
      <c r="AB753" s="77"/>
      <c r="AC753" s="77"/>
      <c r="AD753" s="77"/>
    </row>
    <row r="754" spans="22:30" x14ac:dyDescent="0.35">
      <c r="V754" s="77"/>
      <c r="W754" s="77"/>
      <c r="X754" s="77"/>
      <c r="Y754" s="77"/>
      <c r="Z754" s="77"/>
      <c r="AA754" s="77"/>
      <c r="AB754" s="77"/>
      <c r="AC754" s="77"/>
      <c r="AD754" s="77"/>
    </row>
    <row r="755" spans="22:30" x14ac:dyDescent="0.35">
      <c r="V755" s="77"/>
      <c r="W755" s="77"/>
      <c r="X755" s="77"/>
      <c r="Y755" s="77"/>
      <c r="Z755" s="77"/>
      <c r="AA755" s="77"/>
      <c r="AB755" s="77"/>
      <c r="AC755" s="77"/>
      <c r="AD755" s="77"/>
    </row>
    <row r="756" spans="22:30" x14ac:dyDescent="0.35">
      <c r="V756" s="77"/>
      <c r="W756" s="77"/>
      <c r="X756" s="77"/>
      <c r="Y756" s="77"/>
      <c r="Z756" s="77"/>
      <c r="AA756" s="77"/>
      <c r="AB756" s="77"/>
      <c r="AC756" s="77"/>
      <c r="AD756" s="77"/>
    </row>
    <row r="757" spans="22:30" x14ac:dyDescent="0.35">
      <c r="V757" s="77"/>
      <c r="W757" s="77"/>
      <c r="X757" s="77"/>
      <c r="Y757" s="77"/>
      <c r="Z757" s="77"/>
      <c r="AA757" s="77"/>
      <c r="AB757" s="77"/>
      <c r="AC757" s="77"/>
      <c r="AD757" s="77"/>
    </row>
    <row r="758" spans="22:30" x14ac:dyDescent="0.35">
      <c r="V758" s="77"/>
      <c r="W758" s="77"/>
      <c r="X758" s="77"/>
      <c r="Y758" s="77"/>
      <c r="Z758" s="77"/>
      <c r="AA758" s="77"/>
      <c r="AB758" s="77"/>
      <c r="AC758" s="77"/>
      <c r="AD758" s="77"/>
    </row>
    <row r="759" spans="22:30" x14ac:dyDescent="0.35">
      <c r="V759" s="77"/>
      <c r="W759" s="77"/>
      <c r="X759" s="77"/>
      <c r="Y759" s="77"/>
      <c r="Z759" s="77"/>
      <c r="AA759" s="77"/>
      <c r="AB759" s="77"/>
      <c r="AC759" s="77"/>
      <c r="AD759" s="77"/>
    </row>
    <row r="760" spans="22:30" x14ac:dyDescent="0.35">
      <c r="V760" s="77"/>
      <c r="W760" s="77"/>
      <c r="X760" s="77"/>
      <c r="Y760" s="77"/>
      <c r="Z760" s="77"/>
      <c r="AA760" s="77"/>
      <c r="AB760" s="77"/>
      <c r="AC760" s="77"/>
      <c r="AD760" s="77"/>
    </row>
    <row r="761" spans="22:30" x14ac:dyDescent="0.35">
      <c r="V761" s="77"/>
      <c r="W761" s="77"/>
      <c r="X761" s="77"/>
      <c r="Y761" s="77"/>
      <c r="Z761" s="77"/>
      <c r="AA761" s="77"/>
      <c r="AB761" s="77"/>
      <c r="AC761" s="77"/>
      <c r="AD761" s="77"/>
    </row>
    <row r="762" spans="22:30" x14ac:dyDescent="0.35">
      <c r="V762" s="77"/>
      <c r="W762" s="77"/>
      <c r="X762" s="77"/>
      <c r="Y762" s="77"/>
      <c r="Z762" s="77"/>
      <c r="AA762" s="77"/>
      <c r="AB762" s="77"/>
      <c r="AC762" s="77"/>
      <c r="AD762" s="77"/>
    </row>
    <row r="763" spans="22:30" x14ac:dyDescent="0.35">
      <c r="V763" s="77"/>
      <c r="W763" s="77"/>
      <c r="X763" s="77"/>
      <c r="Y763" s="77"/>
      <c r="Z763" s="77"/>
      <c r="AA763" s="77"/>
      <c r="AB763" s="77"/>
      <c r="AC763" s="77"/>
      <c r="AD763" s="77"/>
    </row>
    <row r="764" spans="22:30" x14ac:dyDescent="0.35">
      <c r="V764" s="77"/>
      <c r="W764" s="77"/>
      <c r="X764" s="77"/>
      <c r="Y764" s="77"/>
      <c r="Z764" s="77"/>
      <c r="AA764" s="77"/>
      <c r="AB764" s="77"/>
      <c r="AC764" s="77"/>
      <c r="AD764" s="77"/>
    </row>
    <row r="765" spans="22:30" x14ac:dyDescent="0.35">
      <c r="V765" s="77"/>
      <c r="W765" s="77"/>
      <c r="X765" s="77"/>
      <c r="Y765" s="77"/>
      <c r="Z765" s="77"/>
      <c r="AA765" s="77"/>
      <c r="AB765" s="77"/>
      <c r="AC765" s="77"/>
      <c r="AD765" s="77"/>
    </row>
    <row r="766" spans="22:30" x14ac:dyDescent="0.35">
      <c r="V766" s="77"/>
      <c r="W766" s="77"/>
      <c r="X766" s="77"/>
      <c r="Y766" s="77"/>
      <c r="Z766" s="77"/>
      <c r="AA766" s="77"/>
      <c r="AB766" s="77"/>
      <c r="AC766" s="77"/>
      <c r="AD766" s="77"/>
    </row>
    <row r="767" spans="22:30" x14ac:dyDescent="0.35">
      <c r="V767" s="77"/>
      <c r="W767" s="77"/>
      <c r="X767" s="77"/>
      <c r="Y767" s="77"/>
      <c r="Z767" s="77"/>
      <c r="AA767" s="77"/>
      <c r="AB767" s="77"/>
      <c r="AC767" s="77"/>
      <c r="AD767" s="77"/>
    </row>
    <row r="768" spans="22:30" x14ac:dyDescent="0.35">
      <c r="V768" s="77"/>
      <c r="W768" s="77"/>
      <c r="X768" s="77"/>
      <c r="Y768" s="77"/>
      <c r="Z768" s="77"/>
      <c r="AA768" s="77"/>
      <c r="AB768" s="77"/>
      <c r="AC768" s="77"/>
      <c r="AD768" s="77"/>
    </row>
    <row r="769" spans="22:30" x14ac:dyDescent="0.35">
      <c r="V769" s="77"/>
      <c r="W769" s="77"/>
      <c r="X769" s="77"/>
      <c r="Y769" s="77"/>
      <c r="Z769" s="77"/>
      <c r="AA769" s="77"/>
      <c r="AB769" s="77"/>
      <c r="AC769" s="77"/>
      <c r="AD769" s="77"/>
    </row>
    <row r="770" spans="22:30" x14ac:dyDescent="0.35">
      <c r="V770" s="77"/>
      <c r="W770" s="77"/>
      <c r="X770" s="77"/>
      <c r="Y770" s="77"/>
      <c r="Z770" s="77"/>
      <c r="AA770" s="77"/>
      <c r="AB770" s="77"/>
      <c r="AC770" s="77"/>
      <c r="AD770" s="77"/>
    </row>
    <row r="771" spans="22:30" x14ac:dyDescent="0.35">
      <c r="V771" s="77"/>
      <c r="W771" s="77"/>
      <c r="X771" s="77"/>
      <c r="Y771" s="77"/>
      <c r="Z771" s="77"/>
      <c r="AA771" s="77"/>
      <c r="AB771" s="77"/>
      <c r="AC771" s="77"/>
      <c r="AD771" s="77"/>
    </row>
    <row r="772" spans="22:30" x14ac:dyDescent="0.35">
      <c r="V772" s="77"/>
      <c r="W772" s="77"/>
      <c r="X772" s="77"/>
      <c r="Y772" s="77"/>
      <c r="Z772" s="77"/>
      <c r="AA772" s="77"/>
      <c r="AB772" s="77"/>
      <c r="AC772" s="77"/>
      <c r="AD772" s="77"/>
    </row>
    <row r="773" spans="22:30" x14ac:dyDescent="0.35">
      <c r="V773" s="77"/>
      <c r="W773" s="77"/>
      <c r="X773" s="77"/>
      <c r="Y773" s="77"/>
      <c r="Z773" s="77"/>
      <c r="AA773" s="77"/>
      <c r="AB773" s="77"/>
      <c r="AC773" s="77"/>
      <c r="AD773" s="77"/>
    </row>
    <row r="774" spans="22:30" x14ac:dyDescent="0.35">
      <c r="V774" s="77"/>
      <c r="W774" s="77"/>
      <c r="X774" s="77"/>
      <c r="Y774" s="77"/>
      <c r="Z774" s="77"/>
      <c r="AA774" s="77"/>
      <c r="AB774" s="77"/>
      <c r="AC774" s="77"/>
      <c r="AD774" s="77"/>
    </row>
    <row r="775" spans="22:30" x14ac:dyDescent="0.35">
      <c r="V775" s="77"/>
      <c r="W775" s="77"/>
      <c r="X775" s="77"/>
      <c r="Y775" s="77"/>
      <c r="Z775" s="77"/>
      <c r="AA775" s="77"/>
      <c r="AB775" s="77"/>
      <c r="AC775" s="77"/>
      <c r="AD775" s="77"/>
    </row>
    <row r="776" spans="22:30" x14ac:dyDescent="0.35">
      <c r="V776" s="77"/>
      <c r="W776" s="77"/>
      <c r="X776" s="77"/>
      <c r="Y776" s="77"/>
      <c r="Z776" s="77"/>
      <c r="AA776" s="77"/>
      <c r="AB776" s="77"/>
      <c r="AC776" s="77"/>
      <c r="AD776" s="77"/>
    </row>
    <row r="777" spans="22:30" x14ac:dyDescent="0.35">
      <c r="V777" s="77"/>
      <c r="W777" s="77"/>
      <c r="X777" s="77"/>
      <c r="Y777" s="77"/>
      <c r="Z777" s="77"/>
      <c r="AA777" s="77"/>
      <c r="AB777" s="77"/>
      <c r="AC777" s="77"/>
      <c r="AD777" s="77"/>
    </row>
    <row r="778" spans="22:30" x14ac:dyDescent="0.35">
      <c r="V778" s="77"/>
      <c r="W778" s="77"/>
      <c r="X778" s="77"/>
      <c r="Y778" s="77"/>
      <c r="Z778" s="77"/>
      <c r="AA778" s="77"/>
      <c r="AB778" s="77"/>
      <c r="AC778" s="77"/>
      <c r="AD778" s="77"/>
    </row>
    <row r="779" spans="22:30" x14ac:dyDescent="0.35">
      <c r="V779" s="77"/>
      <c r="W779" s="77"/>
      <c r="X779" s="77"/>
      <c r="Y779" s="77"/>
      <c r="Z779" s="77"/>
      <c r="AA779" s="77"/>
      <c r="AB779" s="77"/>
      <c r="AC779" s="77"/>
      <c r="AD779" s="77"/>
    </row>
    <row r="780" spans="22:30" x14ac:dyDescent="0.35">
      <c r="V780" s="77"/>
      <c r="W780" s="77"/>
      <c r="X780" s="77"/>
      <c r="Y780" s="77"/>
      <c r="Z780" s="77"/>
      <c r="AA780" s="77"/>
      <c r="AB780" s="77"/>
      <c r="AC780" s="77"/>
      <c r="AD780" s="77"/>
    </row>
    <row r="781" spans="22:30" x14ac:dyDescent="0.35">
      <c r="V781" s="77"/>
      <c r="W781" s="77"/>
      <c r="X781" s="77"/>
      <c r="Y781" s="77"/>
      <c r="Z781" s="77"/>
      <c r="AA781" s="77"/>
      <c r="AB781" s="77"/>
      <c r="AC781" s="77"/>
      <c r="AD781" s="77"/>
    </row>
    <row r="782" spans="22:30" x14ac:dyDescent="0.35">
      <c r="V782" s="77"/>
      <c r="W782" s="77"/>
      <c r="X782" s="77"/>
      <c r="Y782" s="77"/>
      <c r="Z782" s="77"/>
      <c r="AA782" s="77"/>
      <c r="AB782" s="77"/>
      <c r="AC782" s="77"/>
      <c r="AD782" s="77"/>
    </row>
    <row r="783" spans="22:30" x14ac:dyDescent="0.35">
      <c r="V783" s="77"/>
      <c r="W783" s="77"/>
      <c r="X783" s="77"/>
      <c r="Y783" s="77"/>
      <c r="Z783" s="77"/>
      <c r="AA783" s="77"/>
      <c r="AB783" s="77"/>
      <c r="AC783" s="77"/>
      <c r="AD783" s="77"/>
    </row>
    <row r="784" spans="22:30" x14ac:dyDescent="0.35">
      <c r="V784" s="77"/>
      <c r="W784" s="77"/>
      <c r="X784" s="77"/>
      <c r="Y784" s="77"/>
      <c r="Z784" s="77"/>
      <c r="AA784" s="77"/>
      <c r="AB784" s="77"/>
      <c r="AC784" s="77"/>
      <c r="AD784" s="77"/>
    </row>
    <row r="785" spans="22:30" x14ac:dyDescent="0.35">
      <c r="V785" s="77"/>
      <c r="W785" s="77"/>
      <c r="X785" s="77"/>
      <c r="Y785" s="77"/>
      <c r="Z785" s="77"/>
      <c r="AA785" s="77"/>
      <c r="AB785" s="77"/>
      <c r="AC785" s="77"/>
      <c r="AD785" s="77"/>
    </row>
    <row r="786" spans="22:30" x14ac:dyDescent="0.35">
      <c r="V786" s="77"/>
      <c r="W786" s="77"/>
      <c r="X786" s="77"/>
      <c r="Y786" s="77"/>
      <c r="Z786" s="77"/>
      <c r="AA786" s="77"/>
      <c r="AB786" s="77"/>
      <c r="AC786" s="77"/>
      <c r="AD786" s="77"/>
    </row>
    <row r="787" spans="22:30" x14ac:dyDescent="0.35">
      <c r="V787" s="77"/>
      <c r="W787" s="77"/>
      <c r="X787" s="77"/>
      <c r="Y787" s="77"/>
      <c r="Z787" s="77"/>
      <c r="AA787" s="77"/>
      <c r="AB787" s="77"/>
      <c r="AC787" s="77"/>
      <c r="AD787" s="77"/>
    </row>
    <row r="788" spans="22:30" x14ac:dyDescent="0.35">
      <c r="V788" s="77"/>
      <c r="W788" s="77"/>
      <c r="X788" s="77"/>
      <c r="Y788" s="77"/>
      <c r="Z788" s="77"/>
      <c r="AA788" s="77"/>
      <c r="AB788" s="77"/>
      <c r="AC788" s="77"/>
      <c r="AD788" s="77"/>
    </row>
    <row r="789" spans="22:30" x14ac:dyDescent="0.35">
      <c r="V789" s="77"/>
      <c r="W789" s="77"/>
      <c r="X789" s="77"/>
      <c r="Y789" s="77"/>
      <c r="Z789" s="77"/>
      <c r="AA789" s="77"/>
      <c r="AB789" s="77"/>
      <c r="AC789" s="77"/>
      <c r="AD789" s="77"/>
    </row>
    <row r="790" spans="22:30" x14ac:dyDescent="0.35">
      <c r="V790" s="77"/>
      <c r="W790" s="77"/>
      <c r="X790" s="77"/>
      <c r="Y790" s="77"/>
      <c r="Z790" s="77"/>
      <c r="AA790" s="77"/>
      <c r="AB790" s="77"/>
      <c r="AC790" s="77"/>
      <c r="AD790" s="77"/>
    </row>
    <row r="791" spans="22:30" x14ac:dyDescent="0.35">
      <c r="V791" s="77"/>
      <c r="W791" s="77"/>
      <c r="X791" s="77"/>
      <c r="Y791" s="77"/>
      <c r="Z791" s="77"/>
      <c r="AA791" s="77"/>
      <c r="AB791" s="77"/>
      <c r="AC791" s="77"/>
      <c r="AD791" s="77"/>
    </row>
    <row r="792" spans="22:30" x14ac:dyDescent="0.35">
      <c r="V792" s="77"/>
      <c r="W792" s="77"/>
      <c r="X792" s="77"/>
      <c r="Y792" s="77"/>
      <c r="Z792" s="77"/>
      <c r="AA792" s="77"/>
      <c r="AB792" s="77"/>
      <c r="AC792" s="77"/>
      <c r="AD792" s="77"/>
    </row>
    <row r="793" spans="22:30" x14ac:dyDescent="0.35">
      <c r="V793" s="77"/>
      <c r="W793" s="77"/>
      <c r="X793" s="77"/>
      <c r="Y793" s="77"/>
      <c r="Z793" s="77"/>
      <c r="AA793" s="77"/>
      <c r="AB793" s="77"/>
      <c r="AC793" s="77"/>
      <c r="AD793" s="77"/>
    </row>
    <row r="794" spans="22:30" x14ac:dyDescent="0.35">
      <c r="V794" s="77"/>
      <c r="W794" s="77"/>
      <c r="X794" s="77"/>
      <c r="Y794" s="77"/>
      <c r="Z794" s="77"/>
      <c r="AA794" s="77"/>
      <c r="AB794" s="77"/>
      <c r="AC794" s="77"/>
      <c r="AD794" s="77"/>
    </row>
    <row r="795" spans="22:30" x14ac:dyDescent="0.35">
      <c r="V795" s="77"/>
      <c r="W795" s="77"/>
      <c r="X795" s="77"/>
      <c r="Y795" s="77"/>
      <c r="Z795" s="77"/>
      <c r="AA795" s="77"/>
      <c r="AB795" s="77"/>
      <c r="AC795" s="77"/>
      <c r="AD795" s="77"/>
    </row>
    <row r="796" spans="22:30" x14ac:dyDescent="0.35">
      <c r="V796" s="77"/>
      <c r="W796" s="77"/>
      <c r="X796" s="77"/>
      <c r="Y796" s="77"/>
      <c r="Z796" s="77"/>
      <c r="AA796" s="77"/>
      <c r="AB796" s="77"/>
      <c r="AC796" s="77"/>
      <c r="AD796" s="77"/>
    </row>
    <row r="797" spans="22:30" x14ac:dyDescent="0.35">
      <c r="V797" s="77"/>
      <c r="W797" s="77"/>
      <c r="X797" s="77"/>
      <c r="Y797" s="77"/>
      <c r="Z797" s="77"/>
      <c r="AA797" s="77"/>
      <c r="AB797" s="77"/>
      <c r="AC797" s="77"/>
      <c r="AD797" s="77"/>
    </row>
    <row r="798" spans="22:30" x14ac:dyDescent="0.35">
      <c r="V798" s="77"/>
      <c r="W798" s="77"/>
      <c r="X798" s="77"/>
      <c r="Y798" s="77"/>
      <c r="Z798" s="77"/>
      <c r="AA798" s="77"/>
      <c r="AB798" s="77"/>
      <c r="AC798" s="77"/>
      <c r="AD798" s="77"/>
    </row>
    <row r="799" spans="22:30" x14ac:dyDescent="0.35">
      <c r="V799" s="77"/>
      <c r="W799" s="77"/>
      <c r="X799" s="77"/>
      <c r="Y799" s="77"/>
      <c r="Z799" s="77"/>
      <c r="AA799" s="77"/>
      <c r="AB799" s="77"/>
      <c r="AC799" s="77"/>
      <c r="AD799" s="77"/>
    </row>
    <row r="800" spans="22:30" x14ac:dyDescent="0.35">
      <c r="V800" s="77"/>
      <c r="W800" s="77"/>
      <c r="X800" s="77"/>
      <c r="Y800" s="77"/>
      <c r="Z800" s="77"/>
      <c r="AA800" s="77"/>
      <c r="AB800" s="77"/>
      <c r="AC800" s="77"/>
      <c r="AD800" s="77"/>
    </row>
    <row r="801" spans="22:30" x14ac:dyDescent="0.35">
      <c r="V801" s="77"/>
      <c r="W801" s="77"/>
      <c r="X801" s="77"/>
      <c r="Y801" s="77"/>
      <c r="Z801" s="77"/>
      <c r="AA801" s="77"/>
      <c r="AB801" s="77"/>
      <c r="AC801" s="77"/>
      <c r="AD801" s="77"/>
    </row>
    <row r="802" spans="22:30" x14ac:dyDescent="0.35">
      <c r="V802" s="77"/>
      <c r="W802" s="77"/>
      <c r="X802" s="77"/>
      <c r="Y802" s="77"/>
      <c r="Z802" s="77"/>
      <c r="AA802" s="77"/>
      <c r="AB802" s="77"/>
      <c r="AC802" s="77"/>
      <c r="AD802" s="77"/>
    </row>
    <row r="803" spans="22:30" x14ac:dyDescent="0.35">
      <c r="V803" s="77"/>
      <c r="W803" s="77"/>
      <c r="X803" s="77"/>
      <c r="Y803" s="77"/>
      <c r="Z803" s="77"/>
      <c r="AA803" s="77"/>
      <c r="AB803" s="77"/>
      <c r="AC803" s="77"/>
      <c r="AD803" s="77"/>
    </row>
    <row r="804" spans="22:30" x14ac:dyDescent="0.35">
      <c r="V804" s="77"/>
      <c r="W804" s="77"/>
      <c r="X804" s="77"/>
      <c r="Y804" s="77"/>
      <c r="Z804" s="77"/>
      <c r="AA804" s="77"/>
      <c r="AB804" s="77"/>
      <c r="AC804" s="77"/>
      <c r="AD804" s="77"/>
    </row>
    <row r="805" spans="22:30" x14ac:dyDescent="0.35">
      <c r="V805" s="77"/>
      <c r="W805" s="77"/>
      <c r="X805" s="77"/>
      <c r="Y805" s="77"/>
      <c r="Z805" s="77"/>
      <c r="AA805" s="77"/>
      <c r="AB805" s="77"/>
      <c r="AC805" s="77"/>
      <c r="AD805" s="77"/>
    </row>
    <row r="806" spans="22:30" x14ac:dyDescent="0.35">
      <c r="V806" s="77"/>
      <c r="W806" s="77"/>
      <c r="X806" s="77"/>
      <c r="Y806" s="77"/>
      <c r="Z806" s="77"/>
      <c r="AA806" s="77"/>
      <c r="AB806" s="77"/>
      <c r="AC806" s="77"/>
      <c r="AD806" s="77"/>
    </row>
    <row r="807" spans="22:30" x14ac:dyDescent="0.35">
      <c r="V807" s="77"/>
      <c r="W807" s="77"/>
      <c r="X807" s="77"/>
      <c r="Y807" s="77"/>
      <c r="Z807" s="77"/>
      <c r="AA807" s="77"/>
      <c r="AB807" s="77"/>
      <c r="AC807" s="77"/>
      <c r="AD807" s="77"/>
    </row>
    <row r="808" spans="22:30" x14ac:dyDescent="0.35">
      <c r="V808" s="77"/>
      <c r="W808" s="77"/>
      <c r="X808" s="77"/>
      <c r="Y808" s="77"/>
      <c r="Z808" s="77"/>
      <c r="AA808" s="77"/>
      <c r="AB808" s="77"/>
      <c r="AC808" s="77"/>
      <c r="AD808" s="77"/>
    </row>
    <row r="809" spans="22:30" x14ac:dyDescent="0.35">
      <c r="V809" s="77"/>
      <c r="W809" s="77"/>
      <c r="X809" s="77"/>
      <c r="Y809" s="77"/>
      <c r="Z809" s="77"/>
      <c r="AA809" s="77"/>
      <c r="AB809" s="77"/>
      <c r="AC809" s="77"/>
      <c r="AD809" s="77"/>
    </row>
    <row r="810" spans="22:30" x14ac:dyDescent="0.35">
      <c r="V810" s="77"/>
      <c r="W810" s="77"/>
      <c r="X810" s="77"/>
      <c r="Y810" s="77"/>
      <c r="Z810" s="77"/>
      <c r="AA810" s="77"/>
      <c r="AB810" s="77"/>
      <c r="AC810" s="77"/>
      <c r="AD810" s="77"/>
    </row>
    <row r="811" spans="22:30" x14ac:dyDescent="0.35">
      <c r="V811" s="77"/>
      <c r="W811" s="77"/>
      <c r="X811" s="77"/>
      <c r="Y811" s="77"/>
      <c r="Z811" s="77"/>
      <c r="AA811" s="77"/>
      <c r="AB811" s="77"/>
      <c r="AC811" s="77"/>
      <c r="AD811" s="77"/>
    </row>
    <row r="812" spans="22:30" x14ac:dyDescent="0.35">
      <c r="V812" s="77"/>
      <c r="W812" s="77"/>
      <c r="X812" s="77"/>
      <c r="Y812" s="77"/>
      <c r="Z812" s="77"/>
      <c r="AA812" s="77"/>
      <c r="AB812" s="77"/>
      <c r="AC812" s="77"/>
      <c r="AD812" s="77"/>
    </row>
    <row r="813" spans="22:30" x14ac:dyDescent="0.35">
      <c r="V813" s="77"/>
      <c r="W813" s="77"/>
      <c r="X813" s="77"/>
      <c r="Y813" s="77"/>
      <c r="Z813" s="77"/>
      <c r="AA813" s="77"/>
      <c r="AB813" s="77"/>
      <c r="AC813" s="77"/>
      <c r="AD813" s="77"/>
    </row>
    <row r="814" spans="22:30" x14ac:dyDescent="0.35">
      <c r="V814" s="77"/>
      <c r="W814" s="77"/>
      <c r="X814" s="77"/>
      <c r="Y814" s="77"/>
      <c r="Z814" s="77"/>
      <c r="AA814" s="77"/>
      <c r="AB814" s="77"/>
      <c r="AC814" s="77"/>
      <c r="AD814" s="77"/>
    </row>
    <row r="815" spans="22:30" x14ac:dyDescent="0.35">
      <c r="V815" s="77"/>
      <c r="W815" s="77"/>
      <c r="X815" s="77"/>
      <c r="Y815" s="77"/>
      <c r="Z815" s="77"/>
      <c r="AA815" s="77"/>
      <c r="AB815" s="77"/>
      <c r="AC815" s="77"/>
      <c r="AD815" s="77"/>
    </row>
    <row r="816" spans="22:30" x14ac:dyDescent="0.35">
      <c r="V816" s="77"/>
      <c r="W816" s="77"/>
      <c r="X816" s="77"/>
      <c r="Y816" s="77"/>
      <c r="Z816" s="77"/>
      <c r="AA816" s="77"/>
      <c r="AB816" s="77"/>
      <c r="AC816" s="77"/>
      <c r="AD816" s="77"/>
    </row>
    <row r="817" spans="22:30" x14ac:dyDescent="0.35">
      <c r="V817" s="77"/>
      <c r="W817" s="77"/>
      <c r="X817" s="77"/>
      <c r="Y817" s="77"/>
      <c r="Z817" s="77"/>
      <c r="AA817" s="77"/>
      <c r="AB817" s="77"/>
      <c r="AC817" s="77"/>
      <c r="AD817" s="77"/>
    </row>
    <row r="818" spans="22:30" x14ac:dyDescent="0.35">
      <c r="V818" s="77"/>
      <c r="W818" s="77"/>
      <c r="X818" s="77"/>
      <c r="Y818" s="77"/>
      <c r="Z818" s="77"/>
      <c r="AA818" s="77"/>
      <c r="AB818" s="77"/>
      <c r="AC818" s="77"/>
      <c r="AD818" s="77"/>
    </row>
    <row r="819" spans="22:30" x14ac:dyDescent="0.35">
      <c r="V819" s="77"/>
      <c r="W819" s="77"/>
      <c r="X819" s="77"/>
      <c r="Y819" s="77"/>
      <c r="Z819" s="77"/>
      <c r="AA819" s="77"/>
      <c r="AB819" s="77"/>
      <c r="AC819" s="77"/>
      <c r="AD819" s="77"/>
    </row>
    <row r="820" spans="22:30" x14ac:dyDescent="0.35">
      <c r="V820" s="77"/>
      <c r="W820" s="77"/>
      <c r="X820" s="77"/>
      <c r="Y820" s="77"/>
      <c r="Z820" s="77"/>
      <c r="AA820" s="77"/>
      <c r="AB820" s="77"/>
      <c r="AC820" s="77"/>
      <c r="AD820" s="77"/>
    </row>
    <row r="821" spans="22:30" x14ac:dyDescent="0.35">
      <c r="V821" s="77"/>
      <c r="W821" s="77"/>
      <c r="X821" s="77"/>
      <c r="Y821" s="77"/>
      <c r="Z821" s="77"/>
      <c r="AA821" s="77"/>
      <c r="AB821" s="77"/>
      <c r="AC821" s="77"/>
      <c r="AD821" s="77"/>
    </row>
    <row r="822" spans="22:30" x14ac:dyDescent="0.35">
      <c r="V822" s="77"/>
      <c r="W822" s="77"/>
      <c r="X822" s="77"/>
      <c r="Y822" s="77"/>
      <c r="Z822" s="77"/>
      <c r="AA822" s="77"/>
      <c r="AB822" s="77"/>
      <c r="AC822" s="77"/>
      <c r="AD822" s="77"/>
    </row>
    <row r="823" spans="22:30" x14ac:dyDescent="0.35">
      <c r="V823" s="77"/>
      <c r="W823" s="77"/>
      <c r="X823" s="77"/>
      <c r="Y823" s="77"/>
      <c r="Z823" s="77"/>
      <c r="AA823" s="77"/>
      <c r="AB823" s="77"/>
      <c r="AC823" s="77"/>
      <c r="AD823" s="77"/>
    </row>
    <row r="824" spans="22:30" x14ac:dyDescent="0.35">
      <c r="V824" s="77"/>
      <c r="W824" s="77"/>
      <c r="X824" s="77"/>
      <c r="Y824" s="77"/>
      <c r="Z824" s="77"/>
      <c r="AA824" s="77"/>
      <c r="AB824" s="77"/>
      <c r="AC824" s="77"/>
      <c r="AD824" s="77"/>
    </row>
    <row r="825" spans="22:30" x14ac:dyDescent="0.35">
      <c r="V825" s="77"/>
      <c r="W825" s="77"/>
      <c r="X825" s="77"/>
      <c r="Y825" s="77"/>
      <c r="Z825" s="77"/>
      <c r="AA825" s="77"/>
      <c r="AB825" s="77"/>
      <c r="AC825" s="77"/>
      <c r="AD825" s="77"/>
    </row>
    <row r="826" spans="22:30" x14ac:dyDescent="0.35">
      <c r="V826" s="77"/>
      <c r="W826" s="77"/>
      <c r="X826" s="77"/>
      <c r="Y826" s="77"/>
      <c r="Z826" s="77"/>
      <c r="AA826" s="77"/>
      <c r="AB826" s="77"/>
      <c r="AC826" s="77"/>
      <c r="AD826" s="77"/>
    </row>
    <row r="827" spans="22:30" x14ac:dyDescent="0.35">
      <c r="V827" s="77"/>
      <c r="W827" s="77"/>
      <c r="X827" s="77"/>
      <c r="Y827" s="77"/>
      <c r="Z827" s="77"/>
      <c r="AA827" s="77"/>
      <c r="AB827" s="77"/>
      <c r="AC827" s="77"/>
      <c r="AD827" s="77"/>
    </row>
    <row r="828" spans="22:30" x14ac:dyDescent="0.35">
      <c r="V828" s="77"/>
      <c r="W828" s="77"/>
      <c r="X828" s="77"/>
      <c r="Y828" s="77"/>
      <c r="Z828" s="77"/>
      <c r="AA828" s="77"/>
      <c r="AB828" s="77"/>
      <c r="AC828" s="77"/>
      <c r="AD828" s="77"/>
    </row>
    <row r="829" spans="22:30" x14ac:dyDescent="0.35">
      <c r="V829" s="77"/>
      <c r="W829" s="77"/>
      <c r="X829" s="77"/>
      <c r="Y829" s="77"/>
      <c r="Z829" s="77"/>
      <c r="AA829" s="77"/>
      <c r="AB829" s="77"/>
      <c r="AC829" s="77"/>
      <c r="AD829" s="77"/>
    </row>
    <row r="830" spans="22:30" x14ac:dyDescent="0.35">
      <c r="V830" s="77"/>
      <c r="W830" s="77"/>
      <c r="X830" s="77"/>
      <c r="Y830" s="77"/>
      <c r="Z830" s="77"/>
      <c r="AA830" s="77"/>
      <c r="AB830" s="77"/>
      <c r="AC830" s="77"/>
      <c r="AD830" s="77"/>
    </row>
    <row r="831" spans="22:30" x14ac:dyDescent="0.35">
      <c r="V831" s="77"/>
      <c r="W831" s="77"/>
      <c r="X831" s="77"/>
      <c r="Y831" s="77"/>
      <c r="Z831" s="77"/>
      <c r="AA831" s="77"/>
      <c r="AB831" s="77"/>
      <c r="AC831" s="77"/>
      <c r="AD831" s="77"/>
    </row>
    <row r="832" spans="22:30" x14ac:dyDescent="0.35">
      <c r="V832" s="77"/>
      <c r="W832" s="77"/>
      <c r="X832" s="77"/>
      <c r="Y832" s="77"/>
      <c r="Z832" s="77"/>
      <c r="AA832" s="77"/>
      <c r="AB832" s="77"/>
      <c r="AC832" s="77"/>
      <c r="AD832" s="77"/>
    </row>
    <row r="833" spans="22:30" x14ac:dyDescent="0.35">
      <c r="V833" s="77"/>
      <c r="W833" s="77"/>
      <c r="X833" s="77"/>
      <c r="Y833" s="77"/>
      <c r="Z833" s="77"/>
      <c r="AA833" s="77"/>
      <c r="AB833" s="77"/>
      <c r="AC833" s="77"/>
      <c r="AD833" s="77"/>
    </row>
    <row r="834" spans="22:30" x14ac:dyDescent="0.35">
      <c r="V834" s="77"/>
      <c r="W834" s="77"/>
      <c r="X834" s="77"/>
      <c r="Y834" s="77"/>
      <c r="Z834" s="77"/>
      <c r="AA834" s="77"/>
      <c r="AB834" s="77"/>
      <c r="AC834" s="77"/>
      <c r="AD834" s="77"/>
    </row>
    <row r="835" spans="22:30" x14ac:dyDescent="0.35">
      <c r="V835" s="77"/>
      <c r="W835" s="77"/>
      <c r="X835" s="77"/>
      <c r="Y835" s="77"/>
      <c r="Z835" s="77"/>
      <c r="AA835" s="77"/>
      <c r="AB835" s="77"/>
      <c r="AC835" s="77"/>
      <c r="AD835" s="77"/>
    </row>
    <row r="836" spans="22:30" x14ac:dyDescent="0.35">
      <c r="V836" s="77"/>
      <c r="W836" s="77"/>
      <c r="X836" s="77"/>
      <c r="Y836" s="77"/>
      <c r="Z836" s="77"/>
      <c r="AA836" s="77"/>
      <c r="AB836" s="77"/>
      <c r="AC836" s="77"/>
      <c r="AD836" s="77"/>
    </row>
    <row r="837" spans="22:30" x14ac:dyDescent="0.35">
      <c r="V837" s="77"/>
      <c r="W837" s="77"/>
      <c r="X837" s="77"/>
      <c r="Y837" s="77"/>
      <c r="Z837" s="77"/>
      <c r="AA837" s="77"/>
      <c r="AB837" s="77"/>
      <c r="AC837" s="77"/>
      <c r="AD837" s="77"/>
    </row>
    <row r="838" spans="22:30" x14ac:dyDescent="0.35">
      <c r="V838" s="77"/>
      <c r="W838" s="77"/>
      <c r="X838" s="77"/>
      <c r="Y838" s="77"/>
      <c r="Z838" s="77"/>
      <c r="AA838" s="77"/>
      <c r="AB838" s="77"/>
      <c r="AC838" s="77"/>
      <c r="AD838" s="77"/>
    </row>
    <row r="839" spans="22:30" x14ac:dyDescent="0.35">
      <c r="V839" s="77"/>
      <c r="W839" s="77"/>
      <c r="X839" s="77"/>
      <c r="Y839" s="77"/>
      <c r="Z839" s="77"/>
      <c r="AA839" s="77"/>
      <c r="AB839" s="77"/>
      <c r="AC839" s="77"/>
      <c r="AD839" s="77"/>
    </row>
    <row r="840" spans="22:30" x14ac:dyDescent="0.35">
      <c r="V840" s="77"/>
      <c r="W840" s="77"/>
      <c r="X840" s="77"/>
      <c r="Y840" s="77"/>
      <c r="Z840" s="77"/>
      <c r="AA840" s="77"/>
      <c r="AB840" s="77"/>
      <c r="AC840" s="77"/>
      <c r="AD840" s="77"/>
    </row>
    <row r="841" spans="22:30" x14ac:dyDescent="0.35">
      <c r="V841" s="77"/>
      <c r="W841" s="77"/>
      <c r="X841" s="77"/>
      <c r="Y841" s="77"/>
      <c r="Z841" s="77"/>
      <c r="AA841" s="77"/>
      <c r="AB841" s="77"/>
      <c r="AC841" s="77"/>
      <c r="AD841" s="77"/>
    </row>
    <row r="842" spans="22:30" x14ac:dyDescent="0.35">
      <c r="V842" s="77"/>
      <c r="W842" s="77"/>
      <c r="X842" s="77"/>
      <c r="Y842" s="77"/>
      <c r="Z842" s="77"/>
      <c r="AA842" s="77"/>
      <c r="AB842" s="77"/>
      <c r="AC842" s="77"/>
      <c r="AD842" s="77"/>
    </row>
    <row r="843" spans="22:30" x14ac:dyDescent="0.35">
      <c r="V843" s="77"/>
      <c r="W843" s="77"/>
      <c r="X843" s="77"/>
      <c r="Y843" s="77"/>
      <c r="Z843" s="77"/>
      <c r="AA843" s="77"/>
      <c r="AB843" s="77"/>
      <c r="AC843" s="77"/>
      <c r="AD843" s="77"/>
    </row>
    <row r="844" spans="22:30" x14ac:dyDescent="0.35">
      <c r="V844" s="77"/>
      <c r="W844" s="77"/>
      <c r="X844" s="77"/>
      <c r="Y844" s="77"/>
      <c r="Z844" s="77"/>
      <c r="AA844" s="77"/>
      <c r="AB844" s="77"/>
      <c r="AC844" s="77"/>
      <c r="AD844" s="77"/>
    </row>
    <row r="845" spans="22:30" x14ac:dyDescent="0.35">
      <c r="V845" s="77"/>
      <c r="W845" s="77"/>
      <c r="X845" s="77"/>
      <c r="Y845" s="77"/>
      <c r="Z845" s="77"/>
      <c r="AA845" s="77"/>
      <c r="AB845" s="77"/>
      <c r="AC845" s="77"/>
      <c r="AD845" s="77"/>
    </row>
    <row r="846" spans="22:30" x14ac:dyDescent="0.35">
      <c r="V846" s="77"/>
      <c r="W846" s="77"/>
      <c r="X846" s="77"/>
      <c r="Y846" s="77"/>
      <c r="Z846" s="77"/>
      <c r="AA846" s="77"/>
      <c r="AB846" s="77"/>
      <c r="AC846" s="77"/>
      <c r="AD846" s="77"/>
    </row>
    <row r="847" spans="22:30" x14ac:dyDescent="0.35">
      <c r="V847" s="77"/>
      <c r="W847" s="77"/>
      <c r="X847" s="77"/>
      <c r="Y847" s="77"/>
      <c r="Z847" s="77"/>
      <c r="AA847" s="77"/>
      <c r="AB847" s="77"/>
      <c r="AC847" s="77"/>
      <c r="AD847" s="77"/>
    </row>
    <row r="848" spans="22:30" x14ac:dyDescent="0.35">
      <c r="V848" s="77"/>
      <c r="W848" s="77"/>
      <c r="X848" s="77"/>
      <c r="Y848" s="77"/>
      <c r="Z848" s="77"/>
      <c r="AA848" s="77"/>
      <c r="AB848" s="77"/>
      <c r="AC848" s="77"/>
      <c r="AD848" s="77"/>
    </row>
    <row r="849" spans="22:30" x14ac:dyDescent="0.35">
      <c r="V849" s="77"/>
      <c r="W849" s="77"/>
      <c r="X849" s="77"/>
      <c r="Y849" s="77"/>
      <c r="Z849" s="77"/>
      <c r="AA849" s="77"/>
      <c r="AB849" s="77"/>
      <c r="AC849" s="77"/>
      <c r="AD849" s="77"/>
    </row>
    <row r="850" spans="22:30" x14ac:dyDescent="0.35">
      <c r="V850" s="77"/>
      <c r="W850" s="77"/>
      <c r="X850" s="77"/>
      <c r="Y850" s="77"/>
      <c r="Z850" s="77"/>
      <c r="AA850" s="77"/>
      <c r="AB850" s="77"/>
      <c r="AC850" s="77"/>
      <c r="AD850" s="77"/>
    </row>
    <row r="851" spans="22:30" x14ac:dyDescent="0.35">
      <c r="V851" s="77"/>
      <c r="W851" s="77"/>
      <c r="X851" s="77"/>
      <c r="Y851" s="77"/>
      <c r="Z851" s="77"/>
      <c r="AA851" s="77"/>
      <c r="AB851" s="77"/>
      <c r="AC851" s="77"/>
      <c r="AD851" s="77"/>
    </row>
    <row r="852" spans="22:30" x14ac:dyDescent="0.35">
      <c r="V852" s="77"/>
      <c r="W852" s="77"/>
      <c r="X852" s="77"/>
      <c r="Y852" s="77"/>
      <c r="Z852" s="77"/>
      <c r="AA852" s="77"/>
      <c r="AB852" s="77"/>
      <c r="AC852" s="77"/>
      <c r="AD852" s="77"/>
    </row>
    <row r="853" spans="22:30" x14ac:dyDescent="0.35">
      <c r="V853" s="77"/>
      <c r="W853" s="77"/>
      <c r="X853" s="77"/>
      <c r="Y853" s="77"/>
      <c r="Z853" s="77"/>
      <c r="AA853" s="77"/>
      <c r="AB853" s="77"/>
      <c r="AC853" s="77"/>
      <c r="AD853" s="77"/>
    </row>
    <row r="854" spans="22:30" x14ac:dyDescent="0.35">
      <c r="V854" s="77"/>
      <c r="W854" s="77"/>
      <c r="X854" s="77"/>
      <c r="Y854" s="77"/>
      <c r="Z854" s="77"/>
      <c r="AA854" s="77"/>
      <c r="AB854" s="77"/>
      <c r="AC854" s="77"/>
      <c r="AD854" s="77"/>
    </row>
    <row r="855" spans="22:30" x14ac:dyDescent="0.35">
      <c r="V855" s="77"/>
      <c r="W855" s="77"/>
      <c r="X855" s="77"/>
      <c r="Y855" s="77"/>
      <c r="Z855" s="77"/>
      <c r="AA855" s="77"/>
      <c r="AB855" s="77"/>
      <c r="AC855" s="77"/>
      <c r="AD855" s="77"/>
    </row>
    <row r="856" spans="22:30" x14ac:dyDescent="0.35">
      <c r="V856" s="77"/>
      <c r="W856" s="77"/>
      <c r="X856" s="77"/>
      <c r="Y856" s="77"/>
      <c r="Z856" s="77"/>
      <c r="AA856" s="77"/>
      <c r="AB856" s="77"/>
      <c r="AC856" s="77"/>
      <c r="AD856" s="77"/>
    </row>
    <row r="857" spans="22:30" x14ac:dyDescent="0.35">
      <c r="V857" s="77"/>
      <c r="W857" s="77"/>
      <c r="X857" s="77"/>
      <c r="Y857" s="77"/>
      <c r="Z857" s="77"/>
      <c r="AA857" s="77"/>
      <c r="AB857" s="77"/>
      <c r="AC857" s="77"/>
      <c r="AD857" s="77"/>
    </row>
    <row r="858" spans="22:30" x14ac:dyDescent="0.35">
      <c r="V858" s="77"/>
      <c r="W858" s="77"/>
      <c r="X858" s="77"/>
      <c r="Y858" s="77"/>
      <c r="Z858" s="77"/>
      <c r="AA858" s="77"/>
      <c r="AB858" s="77"/>
      <c r="AC858" s="77"/>
      <c r="AD858" s="77"/>
    </row>
    <row r="859" spans="22:30" x14ac:dyDescent="0.35">
      <c r="V859" s="77"/>
      <c r="W859" s="77"/>
      <c r="X859" s="77"/>
      <c r="Y859" s="77"/>
      <c r="Z859" s="77"/>
      <c r="AA859" s="77"/>
      <c r="AB859" s="77"/>
      <c r="AC859" s="77"/>
      <c r="AD859" s="77"/>
    </row>
    <row r="860" spans="22:30" x14ac:dyDescent="0.35">
      <c r="V860" s="77"/>
      <c r="W860" s="77"/>
      <c r="X860" s="77"/>
      <c r="Y860" s="77"/>
      <c r="Z860" s="77"/>
      <c r="AA860" s="77"/>
      <c r="AB860" s="77"/>
      <c r="AC860" s="77"/>
      <c r="AD860" s="77"/>
    </row>
    <row r="861" spans="22:30" x14ac:dyDescent="0.35">
      <c r="V861" s="77"/>
      <c r="W861" s="77"/>
      <c r="X861" s="77"/>
      <c r="Y861" s="77"/>
      <c r="Z861" s="77"/>
      <c r="AA861" s="77"/>
      <c r="AB861" s="77"/>
      <c r="AC861" s="77"/>
      <c r="AD861" s="77"/>
    </row>
    <row r="862" spans="22:30" x14ac:dyDescent="0.35">
      <c r="V862" s="77"/>
      <c r="W862" s="77"/>
      <c r="X862" s="77"/>
      <c r="Y862" s="77"/>
      <c r="Z862" s="77"/>
      <c r="AA862" s="77"/>
      <c r="AB862" s="77"/>
      <c r="AC862" s="77"/>
      <c r="AD862" s="77"/>
    </row>
    <row r="863" spans="22:30" x14ac:dyDescent="0.35">
      <c r="V863" s="77"/>
      <c r="W863" s="77"/>
      <c r="X863" s="77"/>
      <c r="Y863" s="77"/>
      <c r="Z863" s="77"/>
      <c r="AA863" s="77"/>
      <c r="AB863" s="77"/>
      <c r="AC863" s="77"/>
      <c r="AD863" s="77"/>
    </row>
    <row r="864" spans="22:30" x14ac:dyDescent="0.35">
      <c r="V864" s="77"/>
      <c r="W864" s="77"/>
      <c r="X864" s="77"/>
      <c r="Y864" s="77"/>
      <c r="Z864" s="77"/>
      <c r="AA864" s="77"/>
      <c r="AB864" s="77"/>
      <c r="AC864" s="77"/>
      <c r="AD864" s="77"/>
    </row>
    <row r="865" spans="22:30" x14ac:dyDescent="0.35">
      <c r="V865" s="77"/>
      <c r="W865" s="77"/>
      <c r="X865" s="77"/>
      <c r="Y865" s="77"/>
      <c r="Z865" s="77"/>
      <c r="AA865" s="77"/>
      <c r="AB865" s="77"/>
      <c r="AC865" s="77"/>
      <c r="AD865" s="77"/>
    </row>
    <row r="866" spans="22:30" x14ac:dyDescent="0.35">
      <c r="V866" s="77"/>
      <c r="W866" s="77"/>
      <c r="X866" s="77"/>
      <c r="Y866" s="77"/>
      <c r="Z866" s="77"/>
      <c r="AA866" s="77"/>
      <c r="AB866" s="77"/>
      <c r="AC866" s="77"/>
      <c r="AD866" s="77"/>
    </row>
    <row r="867" spans="22:30" x14ac:dyDescent="0.35">
      <c r="V867" s="77"/>
      <c r="W867" s="77"/>
      <c r="X867" s="77"/>
      <c r="Y867" s="77"/>
      <c r="Z867" s="77"/>
      <c r="AA867" s="77"/>
      <c r="AB867" s="77"/>
      <c r="AC867" s="77"/>
      <c r="AD867" s="77"/>
    </row>
    <row r="868" spans="22:30" x14ac:dyDescent="0.35">
      <c r="V868" s="77"/>
      <c r="W868" s="77"/>
      <c r="X868" s="77"/>
      <c r="Y868" s="77"/>
      <c r="Z868" s="77"/>
      <c r="AA868" s="77"/>
      <c r="AB868" s="77"/>
      <c r="AC868" s="77"/>
      <c r="AD868" s="77"/>
    </row>
    <row r="869" spans="22:30" x14ac:dyDescent="0.35">
      <c r="V869" s="77"/>
      <c r="W869" s="77"/>
      <c r="X869" s="77"/>
      <c r="Y869" s="77"/>
      <c r="Z869" s="77"/>
      <c r="AA869" s="77"/>
      <c r="AB869" s="77"/>
      <c r="AC869" s="77"/>
      <c r="AD869" s="77"/>
    </row>
    <row r="870" spans="22:30" x14ac:dyDescent="0.35">
      <c r="V870" s="77"/>
      <c r="W870" s="77"/>
      <c r="X870" s="77"/>
      <c r="Y870" s="77"/>
      <c r="Z870" s="77"/>
      <c r="AA870" s="77"/>
      <c r="AB870" s="77"/>
      <c r="AC870" s="77"/>
      <c r="AD870" s="77"/>
    </row>
    <row r="871" spans="22:30" x14ac:dyDescent="0.35">
      <c r="V871" s="77"/>
      <c r="W871" s="77"/>
      <c r="X871" s="77"/>
      <c r="Y871" s="77"/>
      <c r="Z871" s="77"/>
      <c r="AA871" s="77"/>
      <c r="AB871" s="77"/>
      <c r="AC871" s="77"/>
      <c r="AD871" s="77"/>
    </row>
    <row r="872" spans="22:30" x14ac:dyDescent="0.35">
      <c r="V872" s="77"/>
      <c r="W872" s="77"/>
      <c r="X872" s="77"/>
      <c r="Y872" s="77"/>
      <c r="Z872" s="77"/>
      <c r="AA872" s="77"/>
      <c r="AB872" s="77"/>
      <c r="AC872" s="77"/>
      <c r="AD872" s="77"/>
    </row>
    <row r="873" spans="22:30" x14ac:dyDescent="0.35">
      <c r="V873" s="77"/>
      <c r="W873" s="77"/>
      <c r="X873" s="77"/>
      <c r="Y873" s="77"/>
      <c r="Z873" s="77"/>
      <c r="AA873" s="77"/>
      <c r="AB873" s="77"/>
      <c r="AC873" s="77"/>
      <c r="AD873" s="77"/>
    </row>
    <row r="874" spans="22:30" x14ac:dyDescent="0.35">
      <c r="V874" s="77"/>
      <c r="W874" s="77"/>
      <c r="X874" s="77"/>
      <c r="Y874" s="77"/>
      <c r="Z874" s="77"/>
      <c r="AA874" s="77"/>
      <c r="AB874" s="77"/>
      <c r="AC874" s="77"/>
      <c r="AD874" s="77"/>
    </row>
    <row r="875" spans="22:30" x14ac:dyDescent="0.35">
      <c r="V875" s="77"/>
      <c r="W875" s="77"/>
      <c r="X875" s="77"/>
      <c r="Y875" s="77"/>
      <c r="Z875" s="77"/>
      <c r="AA875" s="77"/>
      <c r="AB875" s="77"/>
      <c r="AC875" s="77"/>
      <c r="AD875" s="77"/>
    </row>
    <row r="876" spans="22:30" x14ac:dyDescent="0.35">
      <c r="V876" s="77"/>
      <c r="W876" s="77"/>
      <c r="X876" s="77"/>
      <c r="Y876" s="77"/>
      <c r="Z876" s="77"/>
      <c r="AA876" s="77"/>
      <c r="AB876" s="77"/>
      <c r="AC876" s="77"/>
      <c r="AD876" s="77"/>
    </row>
    <row r="877" spans="22:30" x14ac:dyDescent="0.35">
      <c r="V877" s="77"/>
      <c r="W877" s="77"/>
      <c r="X877" s="77"/>
      <c r="Y877" s="77"/>
      <c r="Z877" s="77"/>
      <c r="AA877" s="77"/>
      <c r="AB877" s="77"/>
      <c r="AC877" s="77"/>
      <c r="AD877" s="77"/>
    </row>
    <row r="878" spans="22:30" x14ac:dyDescent="0.35">
      <c r="V878" s="77"/>
      <c r="W878" s="77"/>
      <c r="X878" s="77"/>
      <c r="Y878" s="77"/>
      <c r="Z878" s="77"/>
      <c r="AA878" s="77"/>
      <c r="AB878" s="77"/>
      <c r="AC878" s="77"/>
      <c r="AD878" s="77"/>
    </row>
    <row r="879" spans="22:30" x14ac:dyDescent="0.35">
      <c r="V879" s="77"/>
      <c r="W879" s="77"/>
      <c r="X879" s="77"/>
      <c r="Y879" s="77"/>
      <c r="Z879" s="77"/>
      <c r="AA879" s="77"/>
      <c r="AB879" s="77"/>
      <c r="AC879" s="77"/>
      <c r="AD879" s="77"/>
    </row>
    <row r="880" spans="22:30" x14ac:dyDescent="0.35">
      <c r="V880" s="77"/>
      <c r="W880" s="77"/>
      <c r="X880" s="77"/>
      <c r="Y880" s="77"/>
      <c r="Z880" s="77"/>
      <c r="AA880" s="77"/>
      <c r="AB880" s="77"/>
      <c r="AC880" s="77"/>
      <c r="AD880" s="77"/>
    </row>
    <row r="881" spans="22:30" x14ac:dyDescent="0.35">
      <c r="V881" s="77"/>
      <c r="W881" s="77"/>
      <c r="X881" s="77"/>
      <c r="Y881" s="77"/>
      <c r="Z881" s="77"/>
      <c r="AA881" s="77"/>
      <c r="AB881" s="77"/>
      <c r="AC881" s="77"/>
      <c r="AD881" s="77"/>
    </row>
    <row r="882" spans="22:30" x14ac:dyDescent="0.35">
      <c r="V882" s="77"/>
      <c r="W882" s="77"/>
      <c r="X882" s="77"/>
      <c r="Y882" s="77"/>
      <c r="Z882" s="77"/>
      <c r="AA882" s="77"/>
      <c r="AB882" s="77"/>
      <c r="AC882" s="77"/>
      <c r="AD882" s="77"/>
    </row>
    <row r="883" spans="22:30" x14ac:dyDescent="0.35">
      <c r="V883" s="77"/>
      <c r="W883" s="77"/>
      <c r="X883" s="77"/>
      <c r="Y883" s="77"/>
      <c r="Z883" s="77"/>
      <c r="AA883" s="77"/>
      <c r="AB883" s="77"/>
      <c r="AC883" s="77"/>
      <c r="AD883" s="77"/>
    </row>
    <row r="884" spans="22:30" x14ac:dyDescent="0.35">
      <c r="V884" s="77"/>
      <c r="W884" s="77"/>
      <c r="X884" s="77"/>
      <c r="Y884" s="77"/>
      <c r="Z884" s="77"/>
      <c r="AA884" s="77"/>
      <c r="AB884" s="77"/>
      <c r="AC884" s="77"/>
      <c r="AD884" s="77"/>
    </row>
    <row r="885" spans="22:30" x14ac:dyDescent="0.35">
      <c r="V885" s="77"/>
      <c r="W885" s="77"/>
      <c r="X885" s="77"/>
      <c r="Y885" s="77"/>
      <c r="Z885" s="77"/>
      <c r="AA885" s="77"/>
      <c r="AB885" s="77"/>
      <c r="AC885" s="77"/>
      <c r="AD885" s="77"/>
    </row>
    <row r="886" spans="22:30" x14ac:dyDescent="0.35">
      <c r="V886" s="77"/>
      <c r="W886" s="77"/>
      <c r="X886" s="77"/>
      <c r="Y886" s="77"/>
      <c r="Z886" s="77"/>
      <c r="AA886" s="77"/>
      <c r="AB886" s="77"/>
      <c r="AC886" s="77"/>
      <c r="AD886" s="77"/>
    </row>
    <row r="887" spans="22:30" x14ac:dyDescent="0.35">
      <c r="V887" s="77"/>
      <c r="W887" s="77"/>
      <c r="X887" s="77"/>
      <c r="Y887" s="77"/>
      <c r="Z887" s="77"/>
      <c r="AA887" s="77"/>
      <c r="AB887" s="77"/>
      <c r="AC887" s="77"/>
      <c r="AD887" s="77"/>
    </row>
    <row r="888" spans="22:30" x14ac:dyDescent="0.35">
      <c r="V888" s="77"/>
      <c r="W888" s="77"/>
      <c r="X888" s="77"/>
      <c r="Y888" s="77"/>
      <c r="Z888" s="77"/>
      <c r="AA888" s="77"/>
      <c r="AB888" s="77"/>
      <c r="AC888" s="77"/>
      <c r="AD888" s="77"/>
    </row>
    <row r="889" spans="22:30" x14ac:dyDescent="0.35">
      <c r="V889" s="77"/>
      <c r="W889" s="77"/>
      <c r="X889" s="77"/>
      <c r="Y889" s="77"/>
      <c r="Z889" s="77"/>
      <c r="AA889" s="77"/>
      <c r="AB889" s="77"/>
      <c r="AC889" s="77"/>
      <c r="AD889" s="77"/>
    </row>
    <row r="890" spans="22:30" x14ac:dyDescent="0.35">
      <c r="V890" s="77"/>
      <c r="W890" s="77"/>
      <c r="X890" s="77"/>
      <c r="Y890" s="77"/>
      <c r="Z890" s="77"/>
      <c r="AA890" s="77"/>
      <c r="AB890" s="77"/>
      <c r="AC890" s="77"/>
      <c r="AD890" s="77"/>
    </row>
    <row r="891" spans="22:30" x14ac:dyDescent="0.35">
      <c r="V891" s="77"/>
      <c r="W891" s="77"/>
      <c r="X891" s="77"/>
      <c r="Y891" s="77"/>
      <c r="Z891" s="77"/>
      <c r="AA891" s="77"/>
      <c r="AB891" s="77"/>
      <c r="AC891" s="77"/>
      <c r="AD891" s="77"/>
    </row>
    <row r="892" spans="22:30" x14ac:dyDescent="0.35">
      <c r="V892" s="77"/>
      <c r="W892" s="77"/>
      <c r="X892" s="77"/>
      <c r="Y892" s="77"/>
      <c r="Z892" s="77"/>
      <c r="AA892" s="77"/>
      <c r="AB892" s="77"/>
      <c r="AC892" s="77"/>
      <c r="AD892" s="77"/>
    </row>
    <row r="893" spans="22:30" x14ac:dyDescent="0.35">
      <c r="V893" s="77"/>
      <c r="W893" s="77"/>
      <c r="X893" s="77"/>
      <c r="Y893" s="77"/>
      <c r="Z893" s="77"/>
      <c r="AA893" s="77"/>
      <c r="AB893" s="77"/>
      <c r="AC893" s="77"/>
      <c r="AD893" s="77"/>
    </row>
    <row r="894" spans="22:30" x14ac:dyDescent="0.35">
      <c r="V894" s="77"/>
      <c r="W894" s="77"/>
      <c r="X894" s="77"/>
      <c r="Y894" s="77"/>
      <c r="Z894" s="77"/>
      <c r="AA894" s="77"/>
      <c r="AB894" s="77"/>
      <c r="AC894" s="77"/>
      <c r="AD894" s="77"/>
    </row>
    <row r="895" spans="22:30" x14ac:dyDescent="0.35">
      <c r="V895" s="77"/>
      <c r="W895" s="77"/>
      <c r="X895" s="77"/>
      <c r="Y895" s="77"/>
      <c r="Z895" s="77"/>
      <c r="AA895" s="77"/>
      <c r="AB895" s="77"/>
      <c r="AC895" s="77"/>
      <c r="AD895" s="77"/>
    </row>
    <row r="896" spans="22:30" x14ac:dyDescent="0.35">
      <c r="V896" s="77"/>
      <c r="W896" s="77"/>
      <c r="X896" s="77"/>
      <c r="Y896" s="77"/>
      <c r="Z896" s="77"/>
      <c r="AA896" s="77"/>
      <c r="AB896" s="77"/>
      <c r="AC896" s="77"/>
      <c r="AD896" s="77"/>
    </row>
    <row r="897" spans="22:30" x14ac:dyDescent="0.35">
      <c r="V897" s="77"/>
      <c r="W897" s="77"/>
      <c r="X897" s="77"/>
      <c r="Y897" s="77"/>
      <c r="Z897" s="77"/>
      <c r="AA897" s="77"/>
      <c r="AB897" s="77"/>
      <c r="AC897" s="77"/>
      <c r="AD897" s="77"/>
    </row>
    <row r="898" spans="22:30" x14ac:dyDescent="0.35">
      <c r="V898" s="77"/>
      <c r="W898" s="77"/>
      <c r="X898" s="77"/>
      <c r="Y898" s="77"/>
      <c r="Z898" s="77"/>
      <c r="AA898" s="77"/>
      <c r="AB898" s="77"/>
      <c r="AC898" s="77"/>
      <c r="AD898" s="77"/>
    </row>
    <row r="899" spans="22:30" x14ac:dyDescent="0.35">
      <c r="V899" s="77"/>
      <c r="W899" s="77"/>
      <c r="X899" s="77"/>
      <c r="Y899" s="77"/>
      <c r="Z899" s="77"/>
      <c r="AA899" s="77"/>
      <c r="AB899" s="77"/>
      <c r="AC899" s="77"/>
      <c r="AD899" s="77"/>
    </row>
    <row r="900" spans="22:30" x14ac:dyDescent="0.35">
      <c r="V900" s="77"/>
      <c r="W900" s="77"/>
      <c r="X900" s="77"/>
      <c r="Y900" s="77"/>
      <c r="Z900" s="77"/>
      <c r="AA900" s="77"/>
      <c r="AB900" s="77"/>
      <c r="AC900" s="77"/>
      <c r="AD900" s="77"/>
    </row>
    <row r="901" spans="22:30" x14ac:dyDescent="0.35">
      <c r="V901" s="77"/>
      <c r="W901" s="77"/>
      <c r="X901" s="77"/>
      <c r="Y901" s="77"/>
      <c r="Z901" s="77"/>
      <c r="AA901" s="77"/>
      <c r="AB901" s="77"/>
      <c r="AC901" s="77"/>
      <c r="AD901" s="77"/>
    </row>
    <row r="902" spans="22:30" x14ac:dyDescent="0.35">
      <c r="V902" s="77"/>
      <c r="W902" s="77"/>
      <c r="X902" s="77"/>
      <c r="Y902" s="77"/>
      <c r="Z902" s="77"/>
      <c r="AA902" s="77"/>
      <c r="AB902" s="77"/>
      <c r="AC902" s="77"/>
      <c r="AD902" s="77"/>
    </row>
    <row r="903" spans="22:30" x14ac:dyDescent="0.35">
      <c r="V903" s="77"/>
      <c r="W903" s="77"/>
      <c r="X903" s="77"/>
      <c r="Y903" s="77"/>
      <c r="Z903" s="77"/>
      <c r="AA903" s="77"/>
      <c r="AB903" s="77"/>
      <c r="AC903" s="77"/>
      <c r="AD903" s="77"/>
    </row>
    <row r="904" spans="22:30" x14ac:dyDescent="0.35">
      <c r="V904" s="77"/>
      <c r="W904" s="77"/>
      <c r="X904" s="77"/>
      <c r="Y904" s="77"/>
      <c r="Z904" s="77"/>
      <c r="AA904" s="77"/>
      <c r="AB904" s="77"/>
      <c r="AC904" s="77"/>
      <c r="AD904" s="77"/>
    </row>
    <row r="905" spans="22:30" x14ac:dyDescent="0.35">
      <c r="V905" s="77"/>
      <c r="W905" s="77"/>
      <c r="X905" s="77"/>
      <c r="Y905" s="77"/>
      <c r="Z905" s="77"/>
      <c r="AA905" s="77"/>
      <c r="AB905" s="77"/>
      <c r="AC905" s="77"/>
      <c r="AD905" s="77"/>
    </row>
    <row r="906" spans="22:30" x14ac:dyDescent="0.35">
      <c r="V906" s="77"/>
      <c r="W906" s="77"/>
      <c r="X906" s="77"/>
      <c r="Y906" s="77"/>
      <c r="Z906" s="77"/>
      <c r="AA906" s="77"/>
      <c r="AB906" s="77"/>
      <c r="AC906" s="77"/>
      <c r="AD906" s="77"/>
    </row>
    <row r="907" spans="22:30" x14ac:dyDescent="0.35">
      <c r="V907" s="77"/>
      <c r="W907" s="77"/>
      <c r="X907" s="77"/>
      <c r="Y907" s="77"/>
      <c r="Z907" s="77"/>
      <c r="AA907" s="77"/>
      <c r="AB907" s="77"/>
      <c r="AC907" s="77"/>
      <c r="AD907" s="77"/>
    </row>
    <row r="908" spans="22:30" x14ac:dyDescent="0.35">
      <c r="V908" s="77"/>
      <c r="W908" s="77"/>
      <c r="X908" s="77"/>
      <c r="Y908" s="77"/>
      <c r="Z908" s="77"/>
      <c r="AA908" s="77"/>
      <c r="AB908" s="77"/>
      <c r="AC908" s="77"/>
      <c r="AD908" s="77"/>
    </row>
    <row r="909" spans="22:30" x14ac:dyDescent="0.35">
      <c r="V909" s="77"/>
      <c r="W909" s="77"/>
      <c r="X909" s="77"/>
      <c r="Y909" s="77"/>
      <c r="Z909" s="77"/>
      <c r="AA909" s="77"/>
      <c r="AB909" s="77"/>
      <c r="AC909" s="77"/>
      <c r="AD909" s="77"/>
    </row>
    <row r="910" spans="22:30" x14ac:dyDescent="0.35">
      <c r="V910" s="77"/>
      <c r="W910" s="77"/>
      <c r="X910" s="77"/>
      <c r="Y910" s="77"/>
      <c r="Z910" s="77"/>
      <c r="AA910" s="77"/>
      <c r="AB910" s="77"/>
      <c r="AC910" s="77"/>
      <c r="AD910" s="77"/>
    </row>
    <row r="911" spans="22:30" x14ac:dyDescent="0.35">
      <c r="V911" s="77"/>
      <c r="W911" s="77"/>
      <c r="X911" s="77"/>
      <c r="Y911" s="77"/>
      <c r="Z911" s="77"/>
      <c r="AA911" s="77"/>
      <c r="AB911" s="77"/>
      <c r="AC911" s="77"/>
      <c r="AD911" s="77"/>
    </row>
    <row r="912" spans="22:30" x14ac:dyDescent="0.35">
      <c r="V912" s="77"/>
      <c r="W912" s="77"/>
      <c r="X912" s="77"/>
      <c r="Y912" s="77"/>
      <c r="Z912" s="77"/>
      <c r="AA912" s="77"/>
      <c r="AB912" s="77"/>
      <c r="AC912" s="77"/>
      <c r="AD912" s="77"/>
    </row>
    <row r="913" spans="22:30" x14ac:dyDescent="0.35">
      <c r="V913" s="77"/>
      <c r="W913" s="77"/>
      <c r="X913" s="77"/>
      <c r="Y913" s="77"/>
      <c r="Z913" s="77"/>
      <c r="AA913" s="77"/>
      <c r="AB913" s="77"/>
      <c r="AC913" s="77"/>
      <c r="AD913" s="77"/>
    </row>
    <row r="914" spans="22:30" x14ac:dyDescent="0.35">
      <c r="V914" s="77"/>
      <c r="W914" s="77"/>
      <c r="X914" s="77"/>
      <c r="Y914" s="77"/>
      <c r="Z914" s="77"/>
      <c r="AA914" s="77"/>
      <c r="AB914" s="77"/>
      <c r="AC914" s="77"/>
      <c r="AD914" s="77"/>
    </row>
    <row r="915" spans="22:30" x14ac:dyDescent="0.35">
      <c r="V915" s="77"/>
      <c r="W915" s="77"/>
      <c r="X915" s="77"/>
      <c r="Y915" s="77"/>
      <c r="Z915" s="77"/>
      <c r="AA915" s="77"/>
      <c r="AB915" s="77"/>
      <c r="AC915" s="77"/>
      <c r="AD915" s="77"/>
    </row>
    <row r="916" spans="22:30" x14ac:dyDescent="0.35">
      <c r="V916" s="77"/>
      <c r="W916" s="77"/>
      <c r="X916" s="77"/>
      <c r="Y916" s="77"/>
      <c r="Z916" s="77"/>
      <c r="AA916" s="77"/>
      <c r="AB916" s="77"/>
      <c r="AC916" s="77"/>
      <c r="AD916" s="77"/>
    </row>
    <row r="917" spans="22:30" x14ac:dyDescent="0.35">
      <c r="V917" s="77"/>
      <c r="W917" s="77"/>
      <c r="X917" s="77"/>
      <c r="Y917" s="77"/>
      <c r="Z917" s="77"/>
      <c r="AA917" s="77"/>
      <c r="AB917" s="77"/>
      <c r="AC917" s="77"/>
      <c r="AD917" s="77"/>
    </row>
    <row r="918" spans="22:30" x14ac:dyDescent="0.35">
      <c r="V918" s="77"/>
      <c r="W918" s="77"/>
      <c r="X918" s="77"/>
      <c r="Y918" s="77"/>
      <c r="Z918" s="77"/>
      <c r="AA918" s="77"/>
      <c r="AB918" s="77"/>
      <c r="AC918" s="77"/>
      <c r="AD918" s="77"/>
    </row>
    <row r="919" spans="22:30" x14ac:dyDescent="0.35">
      <c r="V919" s="77"/>
      <c r="W919" s="77"/>
      <c r="X919" s="77"/>
      <c r="Y919" s="77"/>
      <c r="Z919" s="77"/>
      <c r="AA919" s="77"/>
      <c r="AB919" s="77"/>
      <c r="AC919" s="77"/>
      <c r="AD919" s="77"/>
    </row>
    <row r="920" spans="22:30" x14ac:dyDescent="0.35">
      <c r="V920" s="77"/>
      <c r="W920" s="77"/>
      <c r="X920" s="77"/>
      <c r="Y920" s="77"/>
      <c r="Z920" s="77"/>
      <c r="AA920" s="77"/>
      <c r="AB920" s="77"/>
      <c r="AC920" s="77"/>
      <c r="AD920" s="77"/>
    </row>
    <row r="921" spans="22:30" x14ac:dyDescent="0.35">
      <c r="V921" s="77"/>
      <c r="W921" s="77"/>
      <c r="X921" s="77"/>
      <c r="Y921" s="77"/>
      <c r="Z921" s="77"/>
      <c r="AA921" s="77"/>
      <c r="AB921" s="77"/>
      <c r="AC921" s="77"/>
      <c r="AD921" s="77"/>
    </row>
    <row r="922" spans="22:30" x14ac:dyDescent="0.35">
      <c r="V922" s="77"/>
      <c r="W922" s="77"/>
      <c r="X922" s="77"/>
      <c r="Y922" s="77"/>
      <c r="Z922" s="77"/>
      <c r="AA922" s="77"/>
      <c r="AB922" s="77"/>
      <c r="AC922" s="77"/>
      <c r="AD922" s="77"/>
    </row>
    <row r="923" spans="22:30" x14ac:dyDescent="0.35">
      <c r="V923" s="77"/>
      <c r="W923" s="77"/>
      <c r="X923" s="77"/>
      <c r="Y923" s="77"/>
      <c r="Z923" s="77"/>
      <c r="AA923" s="77"/>
      <c r="AB923" s="77"/>
      <c r="AC923" s="77"/>
      <c r="AD923" s="77"/>
    </row>
    <row r="924" spans="22:30" x14ac:dyDescent="0.35">
      <c r="V924" s="77"/>
      <c r="W924" s="77"/>
      <c r="X924" s="77"/>
      <c r="Y924" s="77"/>
      <c r="Z924" s="77"/>
      <c r="AA924" s="77"/>
      <c r="AB924" s="77"/>
      <c r="AC924" s="77"/>
      <c r="AD924" s="77"/>
    </row>
    <row r="925" spans="22:30" x14ac:dyDescent="0.35">
      <c r="V925" s="77"/>
      <c r="W925" s="77"/>
      <c r="X925" s="77"/>
      <c r="Y925" s="77"/>
      <c r="Z925" s="77"/>
      <c r="AA925" s="77"/>
      <c r="AB925" s="77"/>
      <c r="AC925" s="77"/>
      <c r="AD925" s="77"/>
    </row>
    <row r="926" spans="22:30" x14ac:dyDescent="0.35">
      <c r="V926" s="77"/>
      <c r="W926" s="77"/>
      <c r="X926" s="77"/>
      <c r="Y926" s="77"/>
      <c r="Z926" s="77"/>
      <c r="AA926" s="77"/>
      <c r="AB926" s="77"/>
      <c r="AC926" s="77"/>
      <c r="AD926" s="77"/>
    </row>
    <row r="927" spans="22:30" x14ac:dyDescent="0.35">
      <c r="V927" s="77"/>
      <c r="W927" s="77"/>
      <c r="X927" s="77"/>
      <c r="Y927" s="77"/>
      <c r="Z927" s="77"/>
      <c r="AA927" s="77"/>
      <c r="AB927" s="77"/>
      <c r="AC927" s="77"/>
      <c r="AD927" s="77"/>
    </row>
    <row r="928" spans="22:30" x14ac:dyDescent="0.35">
      <c r="V928" s="77"/>
      <c r="W928" s="77"/>
      <c r="X928" s="77"/>
      <c r="Y928" s="77"/>
      <c r="Z928" s="77"/>
      <c r="AA928" s="77"/>
      <c r="AB928" s="77"/>
      <c r="AC928" s="77"/>
      <c r="AD928" s="77"/>
    </row>
    <row r="929" spans="22:30" x14ac:dyDescent="0.35">
      <c r="V929" s="77"/>
      <c r="W929" s="77"/>
      <c r="X929" s="77"/>
      <c r="Y929" s="77"/>
      <c r="Z929" s="77"/>
      <c r="AA929" s="77"/>
      <c r="AB929" s="77"/>
      <c r="AC929" s="77"/>
      <c r="AD929" s="77"/>
    </row>
    <row r="930" spans="22:30" x14ac:dyDescent="0.35">
      <c r="V930" s="77"/>
      <c r="W930" s="77"/>
      <c r="X930" s="77"/>
      <c r="Y930" s="77"/>
      <c r="Z930" s="77"/>
      <c r="AA930" s="77"/>
      <c r="AB930" s="77"/>
      <c r="AC930" s="77"/>
      <c r="AD930" s="77"/>
    </row>
    <row r="931" spans="22:30" x14ac:dyDescent="0.35">
      <c r="V931" s="77"/>
      <c r="W931" s="77"/>
      <c r="X931" s="77"/>
      <c r="Y931" s="77"/>
      <c r="Z931" s="77"/>
      <c r="AA931" s="77"/>
      <c r="AB931" s="77"/>
      <c r="AC931" s="77"/>
      <c r="AD931" s="77"/>
    </row>
    <row r="932" spans="22:30" x14ac:dyDescent="0.35">
      <c r="V932" s="77"/>
      <c r="W932" s="77"/>
      <c r="X932" s="77"/>
      <c r="Y932" s="77"/>
      <c r="Z932" s="77"/>
      <c r="AA932" s="77"/>
      <c r="AB932" s="77"/>
      <c r="AC932" s="77"/>
      <c r="AD932" s="77"/>
    </row>
    <row r="933" spans="22:30" x14ac:dyDescent="0.35">
      <c r="V933" s="77"/>
      <c r="W933" s="77"/>
      <c r="X933" s="77"/>
      <c r="Y933" s="77"/>
      <c r="Z933" s="77"/>
      <c r="AA933" s="77"/>
      <c r="AB933" s="77"/>
      <c r="AC933" s="77"/>
      <c r="AD933" s="77"/>
    </row>
    <row r="934" spans="22:30" x14ac:dyDescent="0.35">
      <c r="V934" s="77"/>
      <c r="W934" s="77"/>
      <c r="X934" s="77"/>
      <c r="Y934" s="77"/>
      <c r="Z934" s="77"/>
      <c r="AA934" s="77"/>
      <c r="AB934" s="77"/>
      <c r="AC934" s="77"/>
      <c r="AD934" s="77"/>
    </row>
    <row r="935" spans="22:30" x14ac:dyDescent="0.35">
      <c r="V935" s="77"/>
      <c r="W935" s="77"/>
      <c r="X935" s="77"/>
      <c r="Y935" s="77"/>
      <c r="Z935" s="77"/>
      <c r="AA935" s="77"/>
      <c r="AB935" s="77"/>
      <c r="AC935" s="77"/>
      <c r="AD935" s="77"/>
    </row>
    <row r="936" spans="22:30" x14ac:dyDescent="0.35">
      <c r="V936" s="77"/>
      <c r="W936" s="77"/>
      <c r="X936" s="77"/>
      <c r="Y936" s="77"/>
      <c r="Z936" s="77"/>
      <c r="AA936" s="77"/>
      <c r="AB936" s="77"/>
      <c r="AC936" s="77"/>
      <c r="AD936" s="77"/>
    </row>
    <row r="937" spans="22:30" x14ac:dyDescent="0.35">
      <c r="V937" s="77"/>
      <c r="W937" s="77"/>
      <c r="X937" s="77"/>
      <c r="Y937" s="77"/>
      <c r="Z937" s="77"/>
      <c r="AA937" s="77"/>
      <c r="AB937" s="77"/>
      <c r="AC937" s="77"/>
      <c r="AD937" s="77"/>
    </row>
    <row r="938" spans="22:30" x14ac:dyDescent="0.35">
      <c r="V938" s="77"/>
      <c r="W938" s="77"/>
      <c r="X938" s="77"/>
      <c r="Y938" s="77"/>
      <c r="Z938" s="77"/>
      <c r="AA938" s="77"/>
      <c r="AB938" s="77"/>
      <c r="AC938" s="77"/>
      <c r="AD938" s="77"/>
    </row>
    <row r="939" spans="22:30" x14ac:dyDescent="0.35">
      <c r="V939" s="77"/>
      <c r="W939" s="77"/>
      <c r="X939" s="77"/>
      <c r="Y939" s="77"/>
      <c r="Z939" s="77"/>
      <c r="AA939" s="77"/>
      <c r="AB939" s="77"/>
      <c r="AC939" s="77"/>
      <c r="AD939" s="77"/>
    </row>
    <row r="940" spans="22:30" x14ac:dyDescent="0.35">
      <c r="V940" s="77"/>
      <c r="W940" s="77"/>
      <c r="X940" s="77"/>
      <c r="Y940" s="77"/>
      <c r="Z940" s="77"/>
      <c r="AA940" s="77"/>
      <c r="AB940" s="77"/>
      <c r="AC940" s="77"/>
      <c r="AD940" s="77"/>
    </row>
    <row r="941" spans="22:30" x14ac:dyDescent="0.35">
      <c r="V941" s="77"/>
      <c r="W941" s="77"/>
      <c r="X941" s="77"/>
      <c r="Y941" s="77"/>
      <c r="Z941" s="77"/>
      <c r="AA941" s="77"/>
      <c r="AB941" s="77"/>
      <c r="AC941" s="77"/>
      <c r="AD941" s="77"/>
    </row>
    <row r="942" spans="22:30" x14ac:dyDescent="0.35">
      <c r="V942" s="77"/>
      <c r="W942" s="77"/>
      <c r="X942" s="77"/>
      <c r="Y942" s="77"/>
      <c r="Z942" s="77"/>
      <c r="AA942" s="77"/>
      <c r="AB942" s="77"/>
      <c r="AC942" s="77"/>
      <c r="AD942" s="77"/>
    </row>
    <row r="943" spans="22:30" x14ac:dyDescent="0.35">
      <c r="V943" s="77"/>
      <c r="W943" s="77"/>
      <c r="X943" s="77"/>
      <c r="Y943" s="77"/>
      <c r="Z943" s="77"/>
      <c r="AA943" s="77"/>
      <c r="AB943" s="77"/>
      <c r="AC943" s="77"/>
      <c r="AD943" s="77"/>
    </row>
    <row r="944" spans="22:30" x14ac:dyDescent="0.35">
      <c r="V944" s="77"/>
      <c r="W944" s="77"/>
      <c r="X944" s="77"/>
      <c r="Y944" s="77"/>
      <c r="Z944" s="77"/>
      <c r="AA944" s="77"/>
      <c r="AB944" s="77"/>
      <c r="AC944" s="77"/>
      <c r="AD944" s="77"/>
    </row>
    <row r="945" spans="22:30" x14ac:dyDescent="0.35">
      <c r="V945" s="77"/>
      <c r="W945" s="77"/>
      <c r="X945" s="77"/>
      <c r="Y945" s="77"/>
      <c r="Z945" s="77"/>
      <c r="AA945" s="77"/>
      <c r="AB945" s="77"/>
      <c r="AC945" s="77"/>
      <c r="AD945" s="77"/>
    </row>
    <row r="946" spans="22:30" x14ac:dyDescent="0.35">
      <c r="V946" s="77"/>
      <c r="W946" s="77"/>
      <c r="X946" s="77"/>
      <c r="Y946" s="77"/>
      <c r="Z946" s="77"/>
      <c r="AA946" s="77"/>
      <c r="AB946" s="77"/>
      <c r="AC946" s="77"/>
      <c r="AD946" s="77"/>
    </row>
    <row r="947" spans="22:30" x14ac:dyDescent="0.35">
      <c r="V947" s="77"/>
      <c r="W947" s="77"/>
      <c r="X947" s="77"/>
      <c r="Y947" s="77"/>
      <c r="Z947" s="77"/>
      <c r="AA947" s="77"/>
      <c r="AB947" s="77"/>
      <c r="AC947" s="77"/>
      <c r="AD947" s="77"/>
    </row>
    <row r="948" spans="22:30" x14ac:dyDescent="0.35">
      <c r="V948" s="77"/>
      <c r="W948" s="77"/>
      <c r="X948" s="77"/>
      <c r="Y948" s="77"/>
      <c r="Z948" s="77"/>
      <c r="AA948" s="77"/>
      <c r="AB948" s="77"/>
      <c r="AC948" s="77"/>
      <c r="AD948" s="77"/>
    </row>
    <row r="949" spans="22:30" x14ac:dyDescent="0.35">
      <c r="V949" s="77"/>
      <c r="W949" s="77"/>
      <c r="X949" s="77"/>
      <c r="Y949" s="77"/>
      <c r="Z949" s="77"/>
      <c r="AA949" s="77"/>
      <c r="AB949" s="77"/>
      <c r="AC949" s="77"/>
      <c r="AD949" s="77"/>
    </row>
    <row r="950" spans="22:30" x14ac:dyDescent="0.35">
      <c r="V950" s="77"/>
      <c r="W950" s="77"/>
      <c r="X950" s="77"/>
      <c r="Y950" s="77"/>
      <c r="Z950" s="77"/>
      <c r="AA950" s="77"/>
      <c r="AB950" s="77"/>
      <c r="AC950" s="77"/>
      <c r="AD950" s="77"/>
    </row>
    <row r="951" spans="22:30" x14ac:dyDescent="0.35">
      <c r="V951" s="77"/>
      <c r="W951" s="77"/>
      <c r="X951" s="77"/>
      <c r="Y951" s="77"/>
      <c r="Z951" s="77"/>
      <c r="AA951" s="77"/>
      <c r="AB951" s="77"/>
      <c r="AC951" s="77"/>
      <c r="AD951" s="77"/>
    </row>
    <row r="952" spans="22:30" x14ac:dyDescent="0.35">
      <c r="V952" s="77"/>
      <c r="W952" s="77"/>
      <c r="X952" s="77"/>
      <c r="Y952" s="77"/>
      <c r="Z952" s="77"/>
      <c r="AA952" s="77"/>
      <c r="AB952" s="77"/>
      <c r="AC952" s="77"/>
      <c r="AD952" s="77"/>
    </row>
    <row r="953" spans="22:30" x14ac:dyDescent="0.35">
      <c r="V953" s="77"/>
      <c r="W953" s="77"/>
      <c r="X953" s="77"/>
      <c r="Y953" s="77"/>
      <c r="Z953" s="77"/>
      <c r="AA953" s="77"/>
      <c r="AB953" s="77"/>
      <c r="AC953" s="77"/>
      <c r="AD953" s="77"/>
    </row>
    <row r="954" spans="22:30" x14ac:dyDescent="0.35">
      <c r="V954" s="77"/>
      <c r="W954" s="77"/>
      <c r="X954" s="77"/>
      <c r="Y954" s="77"/>
      <c r="Z954" s="77"/>
      <c r="AA954" s="77"/>
      <c r="AB954" s="77"/>
      <c r="AC954" s="77"/>
      <c r="AD954" s="77"/>
    </row>
    <row r="955" spans="22:30" x14ac:dyDescent="0.35">
      <c r="V955" s="77"/>
      <c r="W955" s="77"/>
      <c r="X955" s="77"/>
      <c r="Y955" s="77"/>
      <c r="Z955" s="77"/>
      <c r="AA955" s="77"/>
      <c r="AB955" s="77"/>
      <c r="AC955" s="77"/>
      <c r="AD955" s="77"/>
    </row>
    <row r="956" spans="22:30" x14ac:dyDescent="0.35">
      <c r="V956" s="77"/>
      <c r="W956" s="77"/>
      <c r="X956" s="77"/>
      <c r="Y956" s="77"/>
      <c r="Z956" s="77"/>
      <c r="AA956" s="77"/>
      <c r="AB956" s="77"/>
      <c r="AC956" s="77"/>
      <c r="AD956" s="77"/>
    </row>
    <row r="957" spans="22:30" x14ac:dyDescent="0.35">
      <c r="V957" s="77"/>
      <c r="W957" s="77"/>
      <c r="X957" s="77"/>
      <c r="Y957" s="77"/>
      <c r="Z957" s="77"/>
      <c r="AA957" s="77"/>
      <c r="AB957" s="77"/>
      <c r="AC957" s="77"/>
      <c r="AD957" s="77"/>
    </row>
    <row r="958" spans="22:30" x14ac:dyDescent="0.35">
      <c r="V958" s="77"/>
      <c r="W958" s="77"/>
      <c r="X958" s="77"/>
      <c r="Y958" s="77"/>
      <c r="Z958" s="77"/>
      <c r="AA958" s="77"/>
      <c r="AB958" s="77"/>
      <c r="AC958" s="77"/>
      <c r="AD958" s="77"/>
    </row>
    <row r="959" spans="22:30" x14ac:dyDescent="0.35">
      <c r="V959" s="77"/>
      <c r="W959" s="77"/>
      <c r="X959" s="77"/>
      <c r="Y959" s="77"/>
      <c r="Z959" s="77"/>
      <c r="AA959" s="77"/>
      <c r="AB959" s="77"/>
      <c r="AC959" s="77"/>
      <c r="AD959" s="77"/>
    </row>
    <row r="960" spans="22:30" x14ac:dyDescent="0.35">
      <c r="V960" s="77"/>
      <c r="W960" s="77"/>
      <c r="X960" s="77"/>
      <c r="Y960" s="77"/>
      <c r="Z960" s="77"/>
      <c r="AA960" s="77"/>
      <c r="AB960" s="77"/>
      <c r="AC960" s="77"/>
      <c r="AD960" s="77"/>
    </row>
    <row r="961" spans="22:30" x14ac:dyDescent="0.35">
      <c r="V961" s="77"/>
      <c r="W961" s="77"/>
      <c r="X961" s="77"/>
      <c r="Y961" s="77"/>
      <c r="Z961" s="77"/>
      <c r="AA961" s="77"/>
      <c r="AB961" s="77"/>
      <c r="AC961" s="77"/>
      <c r="AD961" s="77"/>
    </row>
    <row r="962" spans="22:30" x14ac:dyDescent="0.35">
      <c r="V962" s="77"/>
      <c r="W962" s="77"/>
      <c r="X962" s="77"/>
      <c r="Y962" s="77"/>
      <c r="Z962" s="77"/>
      <c r="AA962" s="77"/>
      <c r="AB962" s="77"/>
      <c r="AC962" s="77"/>
      <c r="AD962" s="77"/>
    </row>
    <row r="963" spans="22:30" x14ac:dyDescent="0.35">
      <c r="V963" s="77"/>
      <c r="W963" s="77"/>
      <c r="X963" s="77"/>
      <c r="Y963" s="77"/>
      <c r="Z963" s="77"/>
      <c r="AA963" s="77"/>
      <c r="AB963" s="77"/>
      <c r="AC963" s="77"/>
      <c r="AD963" s="77"/>
    </row>
    <row r="964" spans="22:30" x14ac:dyDescent="0.35">
      <c r="V964" s="77"/>
      <c r="W964" s="77"/>
      <c r="X964" s="77"/>
      <c r="Y964" s="77"/>
      <c r="Z964" s="77"/>
      <c r="AA964" s="77"/>
      <c r="AB964" s="77"/>
      <c r="AC964" s="77"/>
      <c r="AD964" s="77"/>
    </row>
    <row r="965" spans="22:30" x14ac:dyDescent="0.35">
      <c r="V965" s="77"/>
      <c r="W965" s="77"/>
      <c r="X965" s="77"/>
      <c r="Y965" s="77"/>
      <c r="Z965" s="77"/>
      <c r="AA965" s="77"/>
      <c r="AB965" s="77"/>
      <c r="AC965" s="77"/>
      <c r="AD965" s="77"/>
    </row>
    <row r="966" spans="22:30" x14ac:dyDescent="0.35">
      <c r="V966" s="77"/>
      <c r="W966" s="77"/>
      <c r="X966" s="77"/>
      <c r="Y966" s="77"/>
      <c r="Z966" s="77"/>
      <c r="AA966" s="77"/>
      <c r="AB966" s="77"/>
      <c r="AC966" s="77"/>
      <c r="AD966" s="77"/>
    </row>
    <row r="967" spans="22:30" x14ac:dyDescent="0.35">
      <c r="V967" s="77"/>
      <c r="W967" s="77"/>
      <c r="X967" s="77"/>
      <c r="Y967" s="77"/>
      <c r="Z967" s="77"/>
      <c r="AA967" s="77"/>
      <c r="AB967" s="77"/>
      <c r="AC967" s="77"/>
      <c r="AD967" s="77"/>
    </row>
    <row r="968" spans="22:30" x14ac:dyDescent="0.35">
      <c r="V968" s="77"/>
      <c r="W968" s="77"/>
      <c r="X968" s="77"/>
      <c r="Y968" s="77"/>
      <c r="Z968" s="77"/>
      <c r="AA968" s="77"/>
      <c r="AB968" s="77"/>
      <c r="AC968" s="77"/>
      <c r="AD968" s="77"/>
    </row>
    <row r="969" spans="22:30" x14ac:dyDescent="0.35">
      <c r="V969" s="77"/>
      <c r="W969" s="77"/>
      <c r="X969" s="77"/>
      <c r="Y969" s="77"/>
      <c r="Z969" s="77"/>
      <c r="AA969" s="77"/>
      <c r="AB969" s="77"/>
      <c r="AC969" s="77"/>
      <c r="AD969" s="77"/>
    </row>
    <row r="970" spans="22:30" x14ac:dyDescent="0.35">
      <c r="V970" s="77"/>
      <c r="W970" s="77"/>
      <c r="X970" s="77"/>
      <c r="Y970" s="77"/>
      <c r="Z970" s="77"/>
      <c r="AA970" s="77"/>
      <c r="AB970" s="77"/>
      <c r="AC970" s="77"/>
      <c r="AD970" s="77"/>
    </row>
    <row r="971" spans="22:30" x14ac:dyDescent="0.35">
      <c r="V971" s="77"/>
      <c r="W971" s="77"/>
      <c r="X971" s="77"/>
      <c r="Y971" s="77"/>
      <c r="Z971" s="77"/>
      <c r="AA971" s="77"/>
      <c r="AB971" s="77"/>
      <c r="AC971" s="77"/>
      <c r="AD971" s="77"/>
    </row>
    <row r="972" spans="22:30" x14ac:dyDescent="0.35">
      <c r="V972" s="77"/>
      <c r="W972" s="77"/>
      <c r="X972" s="77"/>
      <c r="Y972" s="77"/>
      <c r="Z972" s="77"/>
      <c r="AA972" s="77"/>
      <c r="AB972" s="77"/>
      <c r="AC972" s="77"/>
      <c r="AD972" s="77"/>
    </row>
    <row r="973" spans="22:30" x14ac:dyDescent="0.35">
      <c r="V973" s="77"/>
      <c r="W973" s="77"/>
      <c r="X973" s="77"/>
      <c r="Y973" s="77"/>
      <c r="Z973" s="77"/>
      <c r="AA973" s="77"/>
      <c r="AB973" s="77"/>
      <c r="AC973" s="77"/>
      <c r="AD973" s="77"/>
    </row>
    <row r="974" spans="22:30" x14ac:dyDescent="0.35">
      <c r="V974" s="77"/>
      <c r="W974" s="77"/>
      <c r="X974" s="77"/>
      <c r="Y974" s="77"/>
      <c r="Z974" s="77"/>
      <c r="AA974" s="77"/>
      <c r="AB974" s="77"/>
      <c r="AC974" s="77"/>
      <c r="AD974" s="77"/>
    </row>
    <row r="975" spans="22:30" x14ac:dyDescent="0.35">
      <c r="V975" s="77"/>
      <c r="W975" s="77"/>
      <c r="X975" s="77"/>
      <c r="Y975" s="77"/>
      <c r="Z975" s="77"/>
      <c r="AA975" s="77"/>
      <c r="AB975" s="77"/>
      <c r="AC975" s="77"/>
      <c r="AD975" s="77"/>
    </row>
    <row r="976" spans="22:30" x14ac:dyDescent="0.35">
      <c r="V976" s="77"/>
      <c r="W976" s="77"/>
      <c r="X976" s="77"/>
      <c r="Y976" s="77"/>
      <c r="Z976" s="77"/>
      <c r="AA976" s="77"/>
      <c r="AB976" s="77"/>
      <c r="AC976" s="77"/>
      <c r="AD976" s="77"/>
    </row>
    <row r="977" spans="22:30" x14ac:dyDescent="0.35">
      <c r="V977" s="77"/>
      <c r="W977" s="77"/>
      <c r="X977" s="77"/>
      <c r="Y977" s="77"/>
      <c r="Z977" s="77"/>
      <c r="AA977" s="77"/>
      <c r="AB977" s="77"/>
      <c r="AC977" s="77"/>
      <c r="AD977" s="77"/>
    </row>
    <row r="978" spans="22:30" x14ac:dyDescent="0.35">
      <c r="V978" s="77"/>
      <c r="W978" s="77"/>
      <c r="X978" s="77"/>
      <c r="Y978" s="77"/>
      <c r="Z978" s="77"/>
      <c r="AA978" s="77"/>
      <c r="AB978" s="77"/>
      <c r="AC978" s="77"/>
      <c r="AD978" s="77"/>
    </row>
    <row r="979" spans="22:30" x14ac:dyDescent="0.35">
      <c r="V979" s="77"/>
      <c r="W979" s="77"/>
      <c r="X979" s="77"/>
      <c r="Y979" s="77"/>
      <c r="Z979" s="77"/>
      <c r="AA979" s="77"/>
      <c r="AB979" s="77"/>
      <c r="AC979" s="77"/>
      <c r="AD979" s="77"/>
    </row>
    <row r="980" spans="22:30" x14ac:dyDescent="0.35">
      <c r="V980" s="77"/>
      <c r="W980" s="77"/>
      <c r="X980" s="77"/>
      <c r="Y980" s="77"/>
      <c r="Z980" s="77"/>
      <c r="AA980" s="77"/>
      <c r="AB980" s="77"/>
      <c r="AC980" s="77"/>
      <c r="AD980" s="77"/>
    </row>
    <row r="981" spans="22:30" x14ac:dyDescent="0.35">
      <c r="V981" s="77"/>
      <c r="W981" s="77"/>
      <c r="X981" s="77"/>
      <c r="Y981" s="77"/>
      <c r="Z981" s="77"/>
      <c r="AA981" s="77"/>
      <c r="AB981" s="77"/>
      <c r="AC981" s="77"/>
      <c r="AD981" s="77"/>
    </row>
    <row r="982" spans="22:30" x14ac:dyDescent="0.35">
      <c r="V982" s="77"/>
      <c r="W982" s="77"/>
      <c r="X982" s="77"/>
      <c r="Y982" s="77"/>
      <c r="Z982" s="77"/>
      <c r="AA982" s="77"/>
      <c r="AB982" s="77"/>
      <c r="AC982" s="77"/>
      <c r="AD982" s="77"/>
    </row>
    <row r="983" spans="22:30" x14ac:dyDescent="0.35">
      <c r="V983" s="77"/>
      <c r="W983" s="77"/>
      <c r="X983" s="77"/>
      <c r="Y983" s="77"/>
      <c r="Z983" s="77"/>
      <c r="AA983" s="77"/>
      <c r="AB983" s="77"/>
      <c r="AC983" s="77"/>
      <c r="AD983" s="77"/>
    </row>
    <row r="984" spans="22:30" x14ac:dyDescent="0.35">
      <c r="V984" s="77"/>
      <c r="W984" s="77"/>
      <c r="X984" s="77"/>
      <c r="Y984" s="77"/>
      <c r="Z984" s="77"/>
      <c r="AA984" s="77"/>
      <c r="AB984" s="77"/>
      <c r="AC984" s="77"/>
      <c r="AD984" s="77"/>
    </row>
    <row r="985" spans="22:30" x14ac:dyDescent="0.35">
      <c r="V985" s="77"/>
      <c r="W985" s="77"/>
      <c r="X985" s="77"/>
      <c r="Y985" s="77"/>
      <c r="Z985" s="77"/>
      <c r="AA985" s="77"/>
      <c r="AB985" s="77"/>
      <c r="AC985" s="77"/>
      <c r="AD985" s="77"/>
    </row>
    <row r="986" spans="22:30" x14ac:dyDescent="0.35">
      <c r="V986" s="77"/>
      <c r="W986" s="77"/>
      <c r="X986" s="77"/>
      <c r="Y986" s="77"/>
      <c r="Z986" s="77"/>
      <c r="AA986" s="77"/>
      <c r="AB986" s="77"/>
      <c r="AC986" s="77"/>
      <c r="AD986" s="77"/>
    </row>
    <row r="987" spans="22:30" x14ac:dyDescent="0.35">
      <c r="V987" s="77"/>
      <c r="W987" s="77"/>
      <c r="X987" s="77"/>
      <c r="Y987" s="77"/>
      <c r="Z987" s="77"/>
      <c r="AA987" s="77"/>
      <c r="AB987" s="77"/>
      <c r="AC987" s="77"/>
      <c r="AD987" s="77"/>
    </row>
    <row r="988" spans="22:30" x14ac:dyDescent="0.35">
      <c r="V988" s="77"/>
      <c r="W988" s="77"/>
      <c r="X988" s="77"/>
      <c r="Y988" s="77"/>
      <c r="Z988" s="77"/>
      <c r="AA988" s="77"/>
      <c r="AB988" s="77"/>
      <c r="AC988" s="77"/>
      <c r="AD988" s="77"/>
    </row>
    <row r="989" spans="22:30" x14ac:dyDescent="0.35">
      <c r="V989" s="77"/>
      <c r="W989" s="77"/>
      <c r="X989" s="77"/>
      <c r="Y989" s="77"/>
      <c r="Z989" s="77"/>
      <c r="AA989" s="77"/>
      <c r="AB989" s="77"/>
      <c r="AC989" s="77"/>
      <c r="AD989" s="77"/>
    </row>
    <row r="990" spans="22:30" x14ac:dyDescent="0.35">
      <c r="V990" s="77"/>
      <c r="W990" s="77"/>
      <c r="X990" s="77"/>
      <c r="Y990" s="77"/>
      <c r="Z990" s="77"/>
      <c r="AA990" s="77"/>
      <c r="AB990" s="77"/>
      <c r="AC990" s="77"/>
      <c r="AD990" s="77"/>
    </row>
    <row r="991" spans="22:30" x14ac:dyDescent="0.35">
      <c r="V991" s="77"/>
      <c r="W991" s="77"/>
      <c r="X991" s="77"/>
      <c r="Y991" s="77"/>
      <c r="Z991" s="77"/>
      <c r="AA991" s="77"/>
      <c r="AB991" s="77"/>
      <c r="AC991" s="77"/>
      <c r="AD991" s="77"/>
    </row>
    <row r="992" spans="22:30" x14ac:dyDescent="0.35">
      <c r="V992" s="77"/>
      <c r="W992" s="77"/>
      <c r="X992" s="77"/>
      <c r="Y992" s="77"/>
      <c r="Z992" s="77"/>
      <c r="AA992" s="77"/>
      <c r="AB992" s="77"/>
      <c r="AC992" s="77"/>
      <c r="AD992" s="77"/>
    </row>
    <row r="993" spans="22:30" x14ac:dyDescent="0.35">
      <c r="V993" s="77"/>
      <c r="W993" s="77"/>
      <c r="X993" s="77"/>
      <c r="Y993" s="77"/>
      <c r="Z993" s="77"/>
      <c r="AA993" s="77"/>
      <c r="AB993" s="77"/>
      <c r="AC993" s="77"/>
      <c r="AD993" s="77"/>
    </row>
    <row r="994" spans="22:30" x14ac:dyDescent="0.35">
      <c r="V994" s="77"/>
      <c r="W994" s="77"/>
      <c r="X994" s="77"/>
      <c r="Y994" s="77"/>
      <c r="Z994" s="77"/>
      <c r="AA994" s="77"/>
      <c r="AB994" s="77"/>
      <c r="AC994" s="77"/>
      <c r="AD994" s="77"/>
    </row>
    <row r="995" spans="22:30" x14ac:dyDescent="0.35">
      <c r="V995" s="77"/>
      <c r="W995" s="77"/>
      <c r="X995" s="77"/>
      <c r="Y995" s="77"/>
      <c r="Z995" s="77"/>
      <c r="AA995" s="77"/>
      <c r="AB995" s="77"/>
      <c r="AC995" s="77"/>
      <c r="AD995" s="77"/>
    </row>
    <row r="996" spans="22:30" x14ac:dyDescent="0.35">
      <c r="V996" s="77"/>
      <c r="W996" s="77"/>
      <c r="X996" s="77"/>
      <c r="Y996" s="77"/>
      <c r="Z996" s="77"/>
      <c r="AA996" s="77"/>
      <c r="AB996" s="77"/>
      <c r="AC996" s="77"/>
      <c r="AD996" s="77"/>
    </row>
    <row r="997" spans="22:30" x14ac:dyDescent="0.35">
      <c r="V997" s="77"/>
      <c r="W997" s="77"/>
      <c r="X997" s="77"/>
      <c r="Y997" s="77"/>
      <c r="Z997" s="77"/>
      <c r="AA997" s="77"/>
      <c r="AB997" s="77"/>
      <c r="AC997" s="77"/>
      <c r="AD997" s="77"/>
    </row>
    <row r="998" spans="22:30" x14ac:dyDescent="0.35">
      <c r="V998" s="77"/>
      <c r="W998" s="77"/>
      <c r="X998" s="77"/>
      <c r="Y998" s="77"/>
      <c r="Z998" s="77"/>
      <c r="AA998" s="77"/>
      <c r="AB998" s="77"/>
      <c r="AC998" s="77"/>
      <c r="AD998" s="77"/>
    </row>
    <row r="999" spans="22:30" x14ac:dyDescent="0.35">
      <c r="V999" s="77"/>
      <c r="W999" s="77"/>
      <c r="X999" s="77"/>
      <c r="Y999" s="77"/>
      <c r="Z999" s="77"/>
      <c r="AA999" s="77"/>
      <c r="AB999" s="77"/>
      <c r="AC999" s="77"/>
      <c r="AD999" s="77"/>
    </row>
    <row r="1000" spans="22:30" x14ac:dyDescent="0.35">
      <c r="V1000" s="77"/>
      <c r="W1000" s="77"/>
      <c r="X1000" s="77"/>
      <c r="Y1000" s="77"/>
      <c r="Z1000" s="77"/>
      <c r="AA1000" s="77"/>
      <c r="AB1000" s="77"/>
      <c r="AC1000" s="77"/>
      <c r="AD1000" s="77"/>
    </row>
    <row r="1001" spans="22:30" x14ac:dyDescent="0.35">
      <c r="V1001" s="77"/>
      <c r="W1001" s="77"/>
      <c r="X1001" s="77"/>
      <c r="Y1001" s="77"/>
      <c r="Z1001" s="77"/>
      <c r="AA1001" s="77"/>
      <c r="AB1001" s="77"/>
      <c r="AC1001" s="77"/>
      <c r="AD1001" s="77"/>
    </row>
    <row r="1002" spans="22:30" x14ac:dyDescent="0.35">
      <c r="V1002" s="77"/>
      <c r="W1002" s="77"/>
      <c r="X1002" s="77"/>
      <c r="Y1002" s="77"/>
      <c r="Z1002" s="77"/>
      <c r="AA1002" s="77"/>
      <c r="AB1002" s="77"/>
      <c r="AC1002" s="77"/>
      <c r="AD1002" s="77"/>
    </row>
    <row r="1003" spans="22:30" x14ac:dyDescent="0.35">
      <c r="V1003" s="77"/>
      <c r="W1003" s="77"/>
      <c r="X1003" s="77"/>
      <c r="Y1003" s="77"/>
      <c r="Z1003" s="77"/>
      <c r="AA1003" s="77"/>
      <c r="AB1003" s="77"/>
      <c r="AC1003" s="77"/>
      <c r="AD1003" s="77"/>
    </row>
    <row r="1004" spans="22:30" x14ac:dyDescent="0.35">
      <c r="V1004" s="77"/>
      <c r="W1004" s="77"/>
      <c r="X1004" s="77"/>
      <c r="Y1004" s="77"/>
      <c r="Z1004" s="77"/>
      <c r="AA1004" s="77"/>
      <c r="AB1004" s="77"/>
      <c r="AC1004" s="77"/>
      <c r="AD1004" s="77"/>
    </row>
    <row r="1005" spans="22:30" x14ac:dyDescent="0.35">
      <c r="V1005" s="77"/>
      <c r="W1005" s="77"/>
      <c r="X1005" s="77"/>
      <c r="Y1005" s="77"/>
      <c r="Z1005" s="77"/>
      <c r="AA1005" s="77"/>
      <c r="AB1005" s="77"/>
      <c r="AC1005" s="77"/>
      <c r="AD1005" s="77"/>
    </row>
    <row r="1006" spans="22:30" x14ac:dyDescent="0.35">
      <c r="V1006" s="77"/>
      <c r="W1006" s="77"/>
      <c r="X1006" s="77"/>
      <c r="Y1006" s="77"/>
      <c r="Z1006" s="77"/>
      <c r="AA1006" s="77"/>
      <c r="AB1006" s="77"/>
      <c r="AC1006" s="77"/>
      <c r="AD1006" s="77"/>
    </row>
    <row r="1007" spans="22:30" x14ac:dyDescent="0.35">
      <c r="V1007" s="77"/>
      <c r="W1007" s="77"/>
      <c r="X1007" s="77"/>
      <c r="Y1007" s="77"/>
      <c r="Z1007" s="77"/>
      <c r="AA1007" s="77"/>
      <c r="AB1007" s="77"/>
      <c r="AC1007" s="77"/>
      <c r="AD1007" s="77"/>
    </row>
    <row r="1008" spans="22:30" x14ac:dyDescent="0.35">
      <c r="V1008" s="77"/>
      <c r="W1008" s="77"/>
      <c r="X1008" s="77"/>
      <c r="Y1008" s="77"/>
      <c r="Z1008" s="77"/>
      <c r="AA1008" s="77"/>
      <c r="AB1008" s="77"/>
      <c r="AC1008" s="77"/>
      <c r="AD1008" s="77"/>
    </row>
    <row r="1009" spans="22:30" x14ac:dyDescent="0.35">
      <c r="V1009" s="77"/>
      <c r="W1009" s="77"/>
      <c r="X1009" s="77"/>
      <c r="Y1009" s="77"/>
      <c r="Z1009" s="77"/>
      <c r="AA1009" s="77"/>
      <c r="AB1009" s="77"/>
      <c r="AC1009" s="77"/>
      <c r="AD1009" s="77"/>
    </row>
    <row r="1010" spans="22:30" x14ac:dyDescent="0.35">
      <c r="V1010" s="77"/>
      <c r="W1010" s="77"/>
      <c r="X1010" s="77"/>
      <c r="Y1010" s="77"/>
      <c r="Z1010" s="77"/>
      <c r="AA1010" s="77"/>
      <c r="AB1010" s="77"/>
      <c r="AC1010" s="77"/>
      <c r="AD1010" s="77"/>
    </row>
    <row r="1011" spans="22:30" x14ac:dyDescent="0.35">
      <c r="V1011" s="77"/>
      <c r="W1011" s="77"/>
      <c r="X1011" s="77"/>
      <c r="Y1011" s="77"/>
      <c r="Z1011" s="77"/>
      <c r="AA1011" s="77"/>
      <c r="AB1011" s="77"/>
      <c r="AC1011" s="77"/>
      <c r="AD1011" s="77"/>
    </row>
    <row r="1012" spans="22:30" x14ac:dyDescent="0.35">
      <c r="V1012" s="77"/>
      <c r="W1012" s="77"/>
      <c r="X1012" s="77"/>
      <c r="Y1012" s="77"/>
      <c r="Z1012" s="77"/>
      <c r="AA1012" s="77"/>
      <c r="AB1012" s="77"/>
      <c r="AC1012" s="77"/>
      <c r="AD1012" s="77"/>
    </row>
    <row r="1013" spans="22:30" x14ac:dyDescent="0.35">
      <c r="V1013" s="77"/>
      <c r="W1013" s="77"/>
      <c r="X1013" s="77"/>
      <c r="Y1013" s="77"/>
      <c r="Z1013" s="77"/>
      <c r="AA1013" s="77"/>
      <c r="AB1013" s="77"/>
      <c r="AC1013" s="77"/>
      <c r="AD1013" s="77"/>
    </row>
    <row r="1014" spans="22:30" x14ac:dyDescent="0.35">
      <c r="V1014" s="77"/>
      <c r="W1014" s="77"/>
      <c r="X1014" s="77"/>
      <c r="Y1014" s="77"/>
      <c r="Z1014" s="77"/>
      <c r="AA1014" s="77"/>
      <c r="AB1014" s="77"/>
      <c r="AC1014" s="77"/>
      <c r="AD1014" s="77"/>
    </row>
    <row r="1015" spans="22:30" x14ac:dyDescent="0.35">
      <c r="V1015" s="77"/>
      <c r="W1015" s="77"/>
      <c r="X1015" s="77"/>
      <c r="Y1015" s="77"/>
      <c r="Z1015" s="77"/>
      <c r="AA1015" s="77"/>
      <c r="AB1015" s="77"/>
      <c r="AC1015" s="77"/>
      <c r="AD1015" s="77"/>
    </row>
    <row r="1016" spans="22:30" x14ac:dyDescent="0.35">
      <c r="V1016" s="77"/>
      <c r="W1016" s="77"/>
      <c r="X1016" s="77"/>
      <c r="Y1016" s="77"/>
      <c r="Z1016" s="77"/>
      <c r="AA1016" s="77"/>
      <c r="AB1016" s="77"/>
      <c r="AC1016" s="77"/>
      <c r="AD1016" s="77"/>
    </row>
    <row r="1017" spans="22:30" x14ac:dyDescent="0.35">
      <c r="V1017" s="77"/>
      <c r="W1017" s="77"/>
      <c r="X1017" s="77"/>
      <c r="Y1017" s="77"/>
      <c r="Z1017" s="77"/>
      <c r="AA1017" s="77"/>
      <c r="AB1017" s="77"/>
      <c r="AC1017" s="77"/>
      <c r="AD1017" s="77"/>
    </row>
    <row r="1018" spans="22:30" x14ac:dyDescent="0.35">
      <c r="V1018" s="77"/>
      <c r="W1018" s="77"/>
      <c r="X1018" s="77"/>
      <c r="Y1018" s="77"/>
      <c r="Z1018" s="77"/>
      <c r="AA1018" s="77"/>
      <c r="AB1018" s="77"/>
      <c r="AC1018" s="77"/>
      <c r="AD1018" s="77"/>
    </row>
    <row r="1019" spans="22:30" x14ac:dyDescent="0.35">
      <c r="V1019" s="77"/>
      <c r="W1019" s="77"/>
      <c r="X1019" s="77"/>
      <c r="Y1019" s="77"/>
      <c r="Z1019" s="77"/>
      <c r="AA1019" s="77"/>
      <c r="AB1019" s="77"/>
      <c r="AC1019" s="77"/>
      <c r="AD1019" s="77"/>
    </row>
    <row r="1020" spans="22:30" x14ac:dyDescent="0.35">
      <c r="V1020" s="77"/>
      <c r="W1020" s="77"/>
      <c r="X1020" s="77"/>
      <c r="Y1020" s="77"/>
      <c r="Z1020" s="77"/>
      <c r="AA1020" s="77"/>
      <c r="AB1020" s="77"/>
      <c r="AC1020" s="77"/>
      <c r="AD1020" s="77"/>
    </row>
    <row r="1021" spans="22:30" x14ac:dyDescent="0.35">
      <c r="V1021" s="77"/>
      <c r="W1021" s="77"/>
      <c r="X1021" s="77"/>
      <c r="Y1021" s="77"/>
      <c r="Z1021" s="77"/>
      <c r="AA1021" s="77"/>
      <c r="AB1021" s="77"/>
      <c r="AC1021" s="77"/>
      <c r="AD1021" s="77"/>
    </row>
    <row r="1022" spans="22:30" x14ac:dyDescent="0.35">
      <c r="V1022" s="77"/>
      <c r="W1022" s="77"/>
      <c r="X1022" s="77"/>
      <c r="Y1022" s="77"/>
      <c r="Z1022" s="77"/>
      <c r="AA1022" s="77"/>
      <c r="AB1022" s="77"/>
      <c r="AC1022" s="77"/>
      <c r="AD1022" s="77"/>
    </row>
    <row r="1023" spans="22:30" x14ac:dyDescent="0.35">
      <c r="V1023" s="77"/>
      <c r="W1023" s="77"/>
      <c r="X1023" s="77"/>
      <c r="Y1023" s="77"/>
      <c r="Z1023" s="77"/>
      <c r="AA1023" s="77"/>
      <c r="AB1023" s="77"/>
      <c r="AC1023" s="77"/>
      <c r="AD1023" s="77"/>
    </row>
    <row r="1024" spans="22:30" x14ac:dyDescent="0.35">
      <c r="V1024" s="77"/>
      <c r="W1024" s="77"/>
      <c r="X1024" s="77"/>
      <c r="Y1024" s="77"/>
      <c r="Z1024" s="77"/>
      <c r="AA1024" s="77"/>
      <c r="AB1024" s="77"/>
      <c r="AC1024" s="77"/>
      <c r="AD1024" s="77"/>
    </row>
    <row r="1025" spans="22:30" x14ac:dyDescent="0.35">
      <c r="V1025" s="77"/>
      <c r="W1025" s="77"/>
      <c r="X1025" s="77"/>
      <c r="Y1025" s="77"/>
      <c r="Z1025" s="77"/>
      <c r="AA1025" s="77"/>
      <c r="AB1025" s="77"/>
      <c r="AC1025" s="77"/>
      <c r="AD1025" s="77"/>
    </row>
    <row r="1026" spans="22:30" x14ac:dyDescent="0.35">
      <c r="V1026" s="77"/>
      <c r="W1026" s="77"/>
      <c r="X1026" s="77"/>
      <c r="Y1026" s="77"/>
      <c r="Z1026" s="77"/>
      <c r="AA1026" s="77"/>
      <c r="AB1026" s="77"/>
      <c r="AC1026" s="77"/>
      <c r="AD1026" s="77"/>
    </row>
    <row r="1027" spans="22:30" x14ac:dyDescent="0.35">
      <c r="V1027" s="77"/>
      <c r="W1027" s="77"/>
      <c r="X1027" s="77"/>
      <c r="Y1027" s="77"/>
      <c r="Z1027" s="77"/>
      <c r="AA1027" s="77"/>
      <c r="AB1027" s="77"/>
      <c r="AC1027" s="77"/>
      <c r="AD1027" s="77"/>
    </row>
    <row r="1028" spans="22:30" x14ac:dyDescent="0.35">
      <c r="V1028" s="77"/>
      <c r="W1028" s="77"/>
      <c r="X1028" s="77"/>
      <c r="Y1028" s="77"/>
      <c r="Z1028" s="77"/>
      <c r="AA1028" s="77"/>
      <c r="AB1028" s="77"/>
      <c r="AC1028" s="77"/>
      <c r="AD1028" s="77"/>
    </row>
    <row r="1029" spans="22:30" x14ac:dyDescent="0.35">
      <c r="V1029" s="77"/>
      <c r="W1029" s="77"/>
      <c r="X1029" s="77"/>
      <c r="Y1029" s="77"/>
      <c r="Z1029" s="77"/>
      <c r="AA1029" s="77"/>
      <c r="AB1029" s="77"/>
      <c r="AC1029" s="77"/>
      <c r="AD1029" s="77"/>
    </row>
    <row r="1030" spans="22:30" x14ac:dyDescent="0.35">
      <c r="V1030" s="77"/>
      <c r="W1030" s="77"/>
      <c r="X1030" s="77"/>
      <c r="Y1030" s="77"/>
      <c r="Z1030" s="77"/>
      <c r="AA1030" s="77"/>
      <c r="AB1030" s="77"/>
      <c r="AC1030" s="77"/>
      <c r="AD1030" s="77"/>
    </row>
    <row r="1031" spans="22:30" x14ac:dyDescent="0.35">
      <c r="V1031" s="77"/>
      <c r="W1031" s="77"/>
      <c r="X1031" s="77"/>
      <c r="Y1031" s="77"/>
      <c r="Z1031" s="77"/>
      <c r="AA1031" s="77"/>
      <c r="AB1031" s="77"/>
      <c r="AC1031" s="77"/>
      <c r="AD1031" s="77"/>
    </row>
    <row r="1032" spans="22:30" x14ac:dyDescent="0.35">
      <c r="V1032" s="77"/>
      <c r="W1032" s="77"/>
      <c r="X1032" s="77"/>
      <c r="Y1032" s="77"/>
      <c r="Z1032" s="77"/>
      <c r="AA1032" s="77"/>
      <c r="AB1032" s="77"/>
      <c r="AC1032" s="77"/>
      <c r="AD1032" s="77"/>
    </row>
    <row r="1033" spans="22:30" x14ac:dyDescent="0.35">
      <c r="V1033" s="77"/>
      <c r="W1033" s="77"/>
      <c r="X1033" s="77"/>
      <c r="Y1033" s="77"/>
      <c r="Z1033" s="77"/>
      <c r="AA1033" s="77"/>
      <c r="AB1033" s="77"/>
      <c r="AC1033" s="77"/>
      <c r="AD1033" s="77"/>
    </row>
    <row r="1034" spans="22:30" x14ac:dyDescent="0.35">
      <c r="V1034" s="77"/>
      <c r="W1034" s="77"/>
      <c r="X1034" s="77"/>
      <c r="Y1034" s="77"/>
      <c r="Z1034" s="77"/>
      <c r="AA1034" s="77"/>
      <c r="AB1034" s="77"/>
      <c r="AC1034" s="77"/>
      <c r="AD1034" s="77"/>
    </row>
    <row r="1035" spans="22:30" x14ac:dyDescent="0.35">
      <c r="V1035" s="77"/>
      <c r="W1035" s="77"/>
      <c r="X1035" s="77"/>
      <c r="Y1035" s="77"/>
      <c r="Z1035" s="77"/>
      <c r="AA1035" s="77"/>
      <c r="AB1035" s="77"/>
      <c r="AC1035" s="77"/>
      <c r="AD1035" s="77"/>
    </row>
    <row r="1036" spans="22:30" x14ac:dyDescent="0.35">
      <c r="V1036" s="77"/>
      <c r="W1036" s="77"/>
      <c r="X1036" s="77"/>
      <c r="Y1036" s="77"/>
      <c r="Z1036" s="77"/>
      <c r="AA1036" s="77"/>
      <c r="AB1036" s="77"/>
      <c r="AC1036" s="77"/>
      <c r="AD1036" s="77"/>
    </row>
    <row r="1037" spans="22:30" x14ac:dyDescent="0.35">
      <c r="V1037" s="77"/>
      <c r="W1037" s="77"/>
      <c r="X1037" s="77"/>
      <c r="Y1037" s="77"/>
      <c r="Z1037" s="77"/>
      <c r="AA1037" s="77"/>
      <c r="AB1037" s="77"/>
      <c r="AC1037" s="77"/>
      <c r="AD1037" s="77"/>
    </row>
    <row r="1038" spans="22:30" x14ac:dyDescent="0.35">
      <c r="V1038" s="77"/>
      <c r="W1038" s="77"/>
      <c r="X1038" s="77"/>
      <c r="Y1038" s="77"/>
      <c r="Z1038" s="77"/>
      <c r="AA1038" s="77"/>
      <c r="AB1038" s="77"/>
      <c r="AC1038" s="77"/>
      <c r="AD1038" s="77"/>
    </row>
    <row r="1039" spans="22:30" x14ac:dyDescent="0.35">
      <c r="V1039" s="77"/>
      <c r="W1039" s="77"/>
      <c r="X1039" s="77"/>
      <c r="Y1039" s="77"/>
      <c r="Z1039" s="77"/>
      <c r="AA1039" s="77"/>
      <c r="AB1039" s="77"/>
      <c r="AC1039" s="77"/>
      <c r="AD1039" s="77"/>
    </row>
    <row r="1040" spans="22:30" x14ac:dyDescent="0.35">
      <c r="V1040" s="77"/>
      <c r="W1040" s="77"/>
      <c r="X1040" s="77"/>
      <c r="Y1040" s="77"/>
      <c r="Z1040" s="77"/>
      <c r="AA1040" s="77"/>
      <c r="AB1040" s="77"/>
      <c r="AC1040" s="77"/>
      <c r="AD1040" s="77"/>
    </row>
    <row r="1041" spans="22:30" x14ac:dyDescent="0.35">
      <c r="V1041" s="77"/>
      <c r="W1041" s="77"/>
      <c r="X1041" s="77"/>
      <c r="Y1041" s="77"/>
      <c r="Z1041" s="77"/>
      <c r="AA1041" s="77"/>
      <c r="AB1041" s="77"/>
      <c r="AC1041" s="77"/>
      <c r="AD1041" s="77"/>
    </row>
    <row r="1042" spans="22:30" x14ac:dyDescent="0.35">
      <c r="V1042" s="77"/>
      <c r="W1042" s="77"/>
      <c r="X1042" s="77"/>
      <c r="Y1042" s="77"/>
      <c r="Z1042" s="77"/>
      <c r="AA1042" s="77"/>
      <c r="AB1042" s="77"/>
      <c r="AC1042" s="77"/>
      <c r="AD1042" s="77"/>
    </row>
    <row r="1043" spans="22:30" x14ac:dyDescent="0.35">
      <c r="V1043" s="77"/>
      <c r="W1043" s="77"/>
      <c r="X1043" s="77"/>
      <c r="Y1043" s="77"/>
      <c r="Z1043" s="77"/>
      <c r="AA1043" s="77"/>
      <c r="AB1043" s="77"/>
      <c r="AC1043" s="77"/>
      <c r="AD1043" s="77"/>
    </row>
    <row r="1044" spans="22:30" x14ac:dyDescent="0.35">
      <c r="V1044" s="77"/>
      <c r="W1044" s="77"/>
      <c r="X1044" s="77"/>
      <c r="Y1044" s="77"/>
      <c r="Z1044" s="77"/>
      <c r="AA1044" s="77"/>
      <c r="AB1044" s="77"/>
      <c r="AC1044" s="77"/>
      <c r="AD1044" s="77"/>
    </row>
    <row r="1045" spans="22:30" x14ac:dyDescent="0.35">
      <c r="V1045" s="77"/>
      <c r="W1045" s="77"/>
      <c r="X1045" s="77"/>
      <c r="Y1045" s="77"/>
      <c r="Z1045" s="77"/>
      <c r="AA1045" s="77"/>
      <c r="AB1045" s="77"/>
      <c r="AC1045" s="77"/>
      <c r="AD1045" s="77"/>
    </row>
    <row r="1046" spans="22:30" x14ac:dyDescent="0.35">
      <c r="V1046" s="77"/>
      <c r="W1046" s="77"/>
      <c r="X1046" s="77"/>
      <c r="Y1046" s="77"/>
      <c r="Z1046" s="77"/>
      <c r="AA1046" s="77"/>
      <c r="AB1046" s="77"/>
      <c r="AC1046" s="77"/>
      <c r="AD1046" s="77"/>
    </row>
    <row r="1047" spans="22:30" x14ac:dyDescent="0.35">
      <c r="V1047" s="77"/>
      <c r="W1047" s="77"/>
      <c r="X1047" s="77"/>
      <c r="Y1047" s="77"/>
      <c r="Z1047" s="77"/>
      <c r="AA1047" s="77"/>
      <c r="AB1047" s="77"/>
      <c r="AC1047" s="77"/>
      <c r="AD1047" s="77"/>
    </row>
    <row r="1048" spans="22:30" x14ac:dyDescent="0.35">
      <c r="V1048" s="77"/>
      <c r="W1048" s="77"/>
      <c r="X1048" s="77"/>
      <c r="Y1048" s="77"/>
      <c r="Z1048" s="77"/>
      <c r="AA1048" s="77"/>
      <c r="AB1048" s="77"/>
      <c r="AC1048" s="77"/>
      <c r="AD1048" s="77"/>
    </row>
    <row r="1049" spans="22:30" x14ac:dyDescent="0.35">
      <c r="V1049" s="77"/>
      <c r="W1049" s="77"/>
      <c r="X1049" s="77"/>
      <c r="Y1049" s="77"/>
      <c r="Z1049" s="77"/>
      <c r="AA1049" s="77"/>
      <c r="AB1049" s="77"/>
      <c r="AC1049" s="77"/>
      <c r="AD1049" s="77"/>
    </row>
    <row r="1050" spans="22:30" x14ac:dyDescent="0.35">
      <c r="V1050" s="77"/>
      <c r="W1050" s="77"/>
      <c r="X1050" s="77"/>
      <c r="Y1050" s="77"/>
      <c r="Z1050" s="77"/>
      <c r="AA1050" s="77"/>
      <c r="AB1050" s="77"/>
      <c r="AC1050" s="77"/>
      <c r="AD1050" s="77"/>
    </row>
    <row r="1051" spans="22:30" x14ac:dyDescent="0.35">
      <c r="V1051" s="77"/>
      <c r="W1051" s="77"/>
      <c r="X1051" s="77"/>
      <c r="Y1051" s="77"/>
      <c r="Z1051" s="77"/>
      <c r="AA1051" s="77"/>
      <c r="AB1051" s="77"/>
      <c r="AC1051" s="77"/>
      <c r="AD1051" s="77"/>
    </row>
    <row r="1052" spans="22:30" x14ac:dyDescent="0.35">
      <c r="V1052" s="77"/>
      <c r="W1052" s="77"/>
      <c r="X1052" s="77"/>
      <c r="Y1052" s="77"/>
      <c r="Z1052" s="77"/>
      <c r="AA1052" s="77"/>
      <c r="AB1052" s="77"/>
      <c r="AC1052" s="77"/>
      <c r="AD1052" s="77"/>
    </row>
    <row r="1053" spans="22:30" x14ac:dyDescent="0.35">
      <c r="V1053" s="77"/>
      <c r="W1053" s="77"/>
      <c r="X1053" s="77"/>
      <c r="Y1053" s="77"/>
      <c r="Z1053" s="77"/>
      <c r="AA1053" s="77"/>
      <c r="AB1053" s="77"/>
      <c r="AC1053" s="77"/>
      <c r="AD1053" s="77"/>
    </row>
    <row r="1054" spans="22:30" x14ac:dyDescent="0.35">
      <c r="V1054" s="77"/>
      <c r="W1054" s="77"/>
      <c r="X1054" s="77"/>
      <c r="Y1054" s="77"/>
      <c r="Z1054" s="77"/>
      <c r="AA1054" s="77"/>
      <c r="AB1054" s="77"/>
      <c r="AC1054" s="77"/>
      <c r="AD1054" s="77"/>
    </row>
    <row r="1055" spans="22:30" x14ac:dyDescent="0.35">
      <c r="V1055" s="77"/>
      <c r="W1055" s="77"/>
      <c r="X1055" s="77"/>
      <c r="Y1055" s="77"/>
      <c r="Z1055" s="77"/>
      <c r="AA1055" s="77"/>
      <c r="AB1055" s="77"/>
      <c r="AC1055" s="77"/>
      <c r="AD1055" s="77"/>
    </row>
    <row r="1056" spans="22:30" x14ac:dyDescent="0.35">
      <c r="V1056" s="77"/>
      <c r="W1056" s="77"/>
      <c r="X1056" s="77"/>
      <c r="Y1056" s="77"/>
      <c r="Z1056" s="77"/>
      <c r="AA1056" s="77"/>
      <c r="AB1056" s="77"/>
      <c r="AC1056" s="77"/>
      <c r="AD1056" s="77"/>
    </row>
    <row r="1057" spans="22:30" x14ac:dyDescent="0.35">
      <c r="V1057" s="77"/>
      <c r="W1057" s="77"/>
      <c r="X1057" s="77"/>
      <c r="Y1057" s="77"/>
      <c r="Z1057" s="77"/>
      <c r="AA1057" s="77"/>
      <c r="AB1057" s="77"/>
      <c r="AC1057" s="77"/>
      <c r="AD1057" s="77"/>
    </row>
    <row r="1058" spans="22:30" x14ac:dyDescent="0.35">
      <c r="V1058" s="77"/>
      <c r="W1058" s="77"/>
      <c r="X1058" s="77"/>
      <c r="Y1058" s="77"/>
      <c r="Z1058" s="77"/>
      <c r="AA1058" s="77"/>
      <c r="AB1058" s="77"/>
      <c r="AC1058" s="77"/>
      <c r="AD1058" s="77"/>
    </row>
    <row r="1059" spans="22:30" x14ac:dyDescent="0.35">
      <c r="V1059" s="77"/>
      <c r="W1059" s="77"/>
      <c r="X1059" s="77"/>
      <c r="Y1059" s="77"/>
      <c r="Z1059" s="77"/>
      <c r="AA1059" s="77"/>
      <c r="AB1059" s="77"/>
      <c r="AC1059" s="77"/>
      <c r="AD1059" s="77"/>
    </row>
    <row r="1060" spans="22:30" x14ac:dyDescent="0.35">
      <c r="V1060" s="77"/>
      <c r="W1060" s="77"/>
      <c r="X1060" s="77"/>
      <c r="Y1060" s="77"/>
      <c r="Z1060" s="77"/>
      <c r="AA1060" s="77"/>
      <c r="AB1060" s="77"/>
      <c r="AC1060" s="77"/>
      <c r="AD1060" s="77"/>
    </row>
    <row r="1061" spans="22:30" x14ac:dyDescent="0.35">
      <c r="V1061" s="77"/>
      <c r="W1061" s="77"/>
      <c r="X1061" s="77"/>
      <c r="Y1061" s="77"/>
      <c r="Z1061" s="77"/>
      <c r="AA1061" s="77"/>
      <c r="AB1061" s="77"/>
      <c r="AC1061" s="77"/>
      <c r="AD1061" s="77"/>
    </row>
    <row r="1062" spans="22:30" x14ac:dyDescent="0.35">
      <c r="V1062" s="77"/>
      <c r="W1062" s="77"/>
      <c r="X1062" s="77"/>
      <c r="Y1062" s="77"/>
      <c r="Z1062" s="77"/>
      <c r="AA1062" s="77"/>
      <c r="AB1062" s="77"/>
      <c r="AC1062" s="77"/>
      <c r="AD1062" s="77"/>
    </row>
    <row r="1063" spans="22:30" x14ac:dyDescent="0.35">
      <c r="V1063" s="77"/>
      <c r="W1063" s="77"/>
      <c r="X1063" s="77"/>
      <c r="Y1063" s="77"/>
      <c r="Z1063" s="77"/>
      <c r="AA1063" s="77"/>
      <c r="AB1063" s="77"/>
      <c r="AC1063" s="77"/>
      <c r="AD1063" s="77"/>
    </row>
    <row r="1064" spans="22:30" x14ac:dyDescent="0.35">
      <c r="V1064" s="77"/>
      <c r="W1064" s="77"/>
      <c r="X1064" s="77"/>
      <c r="Y1064" s="77"/>
      <c r="Z1064" s="77"/>
      <c r="AA1064" s="77"/>
      <c r="AB1064" s="77"/>
      <c r="AC1064" s="77"/>
      <c r="AD1064" s="77"/>
    </row>
    <row r="1065" spans="22:30" x14ac:dyDescent="0.35">
      <c r="V1065" s="77"/>
      <c r="W1065" s="77"/>
      <c r="X1065" s="77"/>
      <c r="Y1065" s="77"/>
      <c r="Z1065" s="77"/>
      <c r="AA1065" s="77"/>
      <c r="AB1065" s="77"/>
      <c r="AC1065" s="77"/>
      <c r="AD1065" s="77"/>
    </row>
    <row r="1066" spans="22:30" x14ac:dyDescent="0.35">
      <c r="V1066" s="77"/>
      <c r="W1066" s="77"/>
      <c r="X1066" s="77"/>
      <c r="Y1066" s="77"/>
      <c r="Z1066" s="77"/>
      <c r="AA1066" s="77"/>
      <c r="AB1066" s="77"/>
      <c r="AC1066" s="77"/>
      <c r="AD1066" s="77"/>
    </row>
    <row r="1067" spans="22:30" x14ac:dyDescent="0.35">
      <c r="V1067" s="77"/>
      <c r="W1067" s="77"/>
      <c r="X1067" s="77"/>
      <c r="Y1067" s="77"/>
      <c r="Z1067" s="77"/>
      <c r="AA1067" s="77"/>
      <c r="AB1067" s="77"/>
      <c r="AC1067" s="77"/>
      <c r="AD1067" s="77"/>
    </row>
    <row r="1068" spans="22:30" x14ac:dyDescent="0.35">
      <c r="V1068" s="77"/>
      <c r="W1068" s="77"/>
      <c r="X1068" s="77"/>
      <c r="Y1068" s="77"/>
      <c r="Z1068" s="77"/>
      <c r="AA1068" s="77"/>
      <c r="AB1068" s="77"/>
      <c r="AC1068" s="77"/>
      <c r="AD1068" s="77"/>
    </row>
    <row r="1069" spans="22:30" x14ac:dyDescent="0.35">
      <c r="V1069" s="77"/>
      <c r="W1069" s="77"/>
      <c r="X1069" s="77"/>
      <c r="Y1069" s="77"/>
      <c r="Z1069" s="77"/>
      <c r="AA1069" s="77"/>
      <c r="AB1069" s="77"/>
      <c r="AC1069" s="77"/>
      <c r="AD1069" s="77"/>
    </row>
    <row r="1070" spans="22:30" x14ac:dyDescent="0.35">
      <c r="V1070" s="77"/>
      <c r="W1070" s="77"/>
      <c r="X1070" s="77"/>
      <c r="Y1070" s="77"/>
      <c r="Z1070" s="77"/>
      <c r="AA1070" s="77"/>
      <c r="AB1070" s="77"/>
      <c r="AC1070" s="77"/>
      <c r="AD1070" s="77"/>
    </row>
    <row r="1071" spans="22:30" x14ac:dyDescent="0.35">
      <c r="V1071" s="77"/>
      <c r="W1071" s="77"/>
      <c r="X1071" s="77"/>
      <c r="Y1071" s="77"/>
      <c r="Z1071" s="77"/>
      <c r="AA1071" s="77"/>
      <c r="AB1071" s="77"/>
      <c r="AC1071" s="77"/>
      <c r="AD1071" s="77"/>
    </row>
    <row r="1072" spans="22:30" x14ac:dyDescent="0.35">
      <c r="V1072" s="77"/>
      <c r="W1072" s="77"/>
      <c r="X1072" s="77"/>
      <c r="Y1072" s="77"/>
      <c r="Z1072" s="77"/>
      <c r="AA1072" s="77"/>
      <c r="AB1072" s="77"/>
      <c r="AC1072" s="77"/>
      <c r="AD1072" s="77"/>
    </row>
    <row r="1073" spans="22:30" x14ac:dyDescent="0.35">
      <c r="V1073" s="77"/>
      <c r="W1073" s="77"/>
      <c r="X1073" s="77"/>
      <c r="Y1073" s="77"/>
      <c r="Z1073" s="77"/>
      <c r="AA1073" s="77"/>
      <c r="AB1073" s="77"/>
      <c r="AC1073" s="77"/>
      <c r="AD1073" s="77"/>
    </row>
    <row r="1074" spans="22:30" x14ac:dyDescent="0.35">
      <c r="V1074" s="77"/>
      <c r="W1074" s="77"/>
      <c r="X1074" s="77"/>
      <c r="Y1074" s="77"/>
      <c r="Z1074" s="77"/>
      <c r="AA1074" s="77"/>
      <c r="AB1074" s="77"/>
      <c r="AC1074" s="77"/>
      <c r="AD1074" s="77"/>
    </row>
    <row r="1075" spans="22:30" x14ac:dyDescent="0.35">
      <c r="V1075" s="77"/>
      <c r="W1075" s="77"/>
      <c r="X1075" s="77"/>
      <c r="Y1075" s="77"/>
      <c r="Z1075" s="77"/>
      <c r="AA1075" s="77"/>
      <c r="AB1075" s="77"/>
      <c r="AC1075" s="77"/>
      <c r="AD1075" s="77"/>
    </row>
    <row r="1076" spans="22:30" x14ac:dyDescent="0.35">
      <c r="V1076" s="77"/>
      <c r="W1076" s="77"/>
      <c r="X1076" s="77"/>
      <c r="Y1076" s="77"/>
      <c r="Z1076" s="77"/>
      <c r="AA1076" s="77"/>
      <c r="AB1076" s="77"/>
      <c r="AC1076" s="77"/>
      <c r="AD1076" s="77"/>
    </row>
    <row r="1077" spans="22:30" x14ac:dyDescent="0.35">
      <c r="V1077" s="77"/>
      <c r="W1077" s="77"/>
      <c r="X1077" s="77"/>
      <c r="Y1077" s="77"/>
      <c r="Z1077" s="77"/>
      <c r="AA1077" s="77"/>
      <c r="AB1077" s="77"/>
      <c r="AC1077" s="77"/>
      <c r="AD1077" s="77"/>
    </row>
    <row r="1078" spans="22:30" x14ac:dyDescent="0.35">
      <c r="V1078" s="77"/>
      <c r="W1078" s="77"/>
      <c r="X1078" s="77"/>
      <c r="Y1078" s="77"/>
      <c r="Z1078" s="77"/>
      <c r="AA1078" s="77"/>
      <c r="AB1078" s="77"/>
      <c r="AC1078" s="77"/>
      <c r="AD1078" s="77"/>
    </row>
    <row r="1079" spans="22:30" x14ac:dyDescent="0.35">
      <c r="V1079" s="77"/>
      <c r="W1079" s="77"/>
      <c r="X1079" s="77"/>
      <c r="Y1079" s="77"/>
      <c r="Z1079" s="77"/>
      <c r="AA1079" s="77"/>
      <c r="AB1079" s="77"/>
      <c r="AC1079" s="77"/>
      <c r="AD1079" s="77"/>
    </row>
    <row r="1080" spans="22:30" x14ac:dyDescent="0.35">
      <c r="V1080" s="77"/>
      <c r="W1080" s="77"/>
      <c r="X1080" s="77"/>
      <c r="Y1080" s="77"/>
      <c r="Z1080" s="77"/>
      <c r="AA1080" s="77"/>
      <c r="AB1080" s="77"/>
      <c r="AC1080" s="77"/>
      <c r="AD1080" s="77"/>
    </row>
    <row r="1081" spans="22:30" x14ac:dyDescent="0.35">
      <c r="V1081" s="77"/>
      <c r="W1081" s="77"/>
      <c r="X1081" s="77"/>
      <c r="Y1081" s="77"/>
      <c r="Z1081" s="77"/>
      <c r="AA1081" s="77"/>
      <c r="AB1081" s="77"/>
      <c r="AC1081" s="77"/>
      <c r="AD1081" s="77"/>
    </row>
    <row r="1082" spans="22:30" x14ac:dyDescent="0.35">
      <c r="V1082" s="77"/>
      <c r="W1082" s="77"/>
      <c r="X1082" s="77"/>
      <c r="Y1082" s="77"/>
      <c r="Z1082" s="77"/>
      <c r="AA1082" s="77"/>
      <c r="AB1082" s="77"/>
      <c r="AC1082" s="77"/>
      <c r="AD1082" s="77"/>
    </row>
    <row r="1083" spans="22:30" x14ac:dyDescent="0.35">
      <c r="V1083" s="77"/>
      <c r="W1083" s="77"/>
      <c r="X1083" s="77"/>
      <c r="Y1083" s="77"/>
      <c r="Z1083" s="77"/>
      <c r="AA1083" s="77"/>
      <c r="AB1083" s="77"/>
      <c r="AC1083" s="77"/>
      <c r="AD1083" s="77"/>
    </row>
    <row r="1084" spans="22:30" x14ac:dyDescent="0.35">
      <c r="V1084" s="77"/>
      <c r="W1084" s="77"/>
      <c r="X1084" s="77"/>
      <c r="Y1084" s="77"/>
      <c r="Z1084" s="77"/>
      <c r="AA1084" s="77"/>
      <c r="AB1084" s="77"/>
      <c r="AC1084" s="77"/>
      <c r="AD1084" s="77"/>
    </row>
    <row r="1085" spans="22:30" x14ac:dyDescent="0.35">
      <c r="V1085" s="77"/>
      <c r="W1085" s="77"/>
      <c r="X1085" s="77"/>
      <c r="Y1085" s="77"/>
      <c r="Z1085" s="77"/>
      <c r="AA1085" s="77"/>
      <c r="AB1085" s="77"/>
      <c r="AC1085" s="77"/>
      <c r="AD1085" s="77"/>
    </row>
    <row r="1086" spans="22:30" x14ac:dyDescent="0.35">
      <c r="V1086" s="77"/>
      <c r="W1086" s="77"/>
      <c r="X1086" s="77"/>
      <c r="Y1086" s="77"/>
      <c r="Z1086" s="77"/>
      <c r="AA1086" s="77"/>
      <c r="AB1086" s="77"/>
      <c r="AC1086" s="77"/>
      <c r="AD1086" s="77"/>
    </row>
    <row r="1087" spans="22:30" x14ac:dyDescent="0.35">
      <c r="V1087" s="77"/>
      <c r="W1087" s="77"/>
      <c r="X1087" s="77"/>
      <c r="Y1087" s="77"/>
      <c r="Z1087" s="77"/>
      <c r="AA1087" s="77"/>
      <c r="AB1087" s="77"/>
      <c r="AC1087" s="77"/>
      <c r="AD1087" s="77"/>
    </row>
    <row r="1088" spans="22:30" x14ac:dyDescent="0.35">
      <c r="V1088" s="77"/>
      <c r="W1088" s="77"/>
      <c r="X1088" s="77"/>
      <c r="Y1088" s="77"/>
      <c r="Z1088" s="77"/>
      <c r="AA1088" s="77"/>
      <c r="AB1088" s="77"/>
      <c r="AC1088" s="77"/>
      <c r="AD1088" s="77"/>
    </row>
    <row r="1089" spans="22:30" x14ac:dyDescent="0.35">
      <c r="V1089" s="77"/>
      <c r="W1089" s="77"/>
      <c r="X1089" s="77"/>
      <c r="Y1089" s="77"/>
      <c r="Z1089" s="77"/>
      <c r="AA1089" s="77"/>
      <c r="AB1089" s="77"/>
      <c r="AC1089" s="77"/>
      <c r="AD1089" s="77"/>
    </row>
    <row r="1090" spans="22:30" x14ac:dyDescent="0.35">
      <c r="V1090" s="77"/>
      <c r="W1090" s="77"/>
      <c r="X1090" s="77"/>
      <c r="Y1090" s="77"/>
      <c r="Z1090" s="77"/>
      <c r="AA1090" s="77"/>
      <c r="AB1090" s="77"/>
      <c r="AC1090" s="77"/>
      <c r="AD1090" s="77"/>
    </row>
    <row r="1091" spans="22:30" x14ac:dyDescent="0.35">
      <c r="V1091" s="77"/>
      <c r="W1091" s="77"/>
      <c r="X1091" s="77"/>
      <c r="Y1091" s="77"/>
      <c r="Z1091" s="77"/>
      <c r="AA1091" s="77"/>
      <c r="AB1091" s="77"/>
      <c r="AC1091" s="77"/>
      <c r="AD1091" s="77"/>
    </row>
    <row r="1092" spans="22:30" x14ac:dyDescent="0.35">
      <c r="V1092" s="77"/>
      <c r="W1092" s="77"/>
      <c r="X1092" s="77"/>
      <c r="Y1092" s="77"/>
      <c r="Z1092" s="77"/>
      <c r="AA1092" s="77"/>
      <c r="AB1092" s="77"/>
      <c r="AC1092" s="77"/>
      <c r="AD1092" s="77"/>
    </row>
    <row r="1093" spans="22:30" x14ac:dyDescent="0.35">
      <c r="V1093" s="77"/>
      <c r="W1093" s="77"/>
      <c r="X1093" s="77"/>
      <c r="Y1093" s="77"/>
      <c r="Z1093" s="77"/>
      <c r="AA1093" s="77"/>
      <c r="AB1093" s="77"/>
      <c r="AC1093" s="77"/>
      <c r="AD1093" s="77"/>
    </row>
    <row r="1094" spans="22:30" x14ac:dyDescent="0.35">
      <c r="V1094" s="77"/>
      <c r="W1094" s="77"/>
      <c r="X1094" s="77"/>
      <c r="Y1094" s="77"/>
      <c r="Z1094" s="77"/>
      <c r="AA1094" s="77"/>
      <c r="AB1094" s="77"/>
      <c r="AC1094" s="77"/>
      <c r="AD1094" s="77"/>
    </row>
    <row r="1095" spans="22:30" x14ac:dyDescent="0.35">
      <c r="V1095" s="77"/>
      <c r="W1095" s="77"/>
      <c r="X1095" s="77"/>
      <c r="Y1095" s="77"/>
      <c r="Z1095" s="77"/>
      <c r="AA1095" s="77"/>
      <c r="AB1095" s="77"/>
      <c r="AC1095" s="77"/>
      <c r="AD1095" s="77"/>
    </row>
    <row r="1096" spans="22:30" x14ac:dyDescent="0.35">
      <c r="V1096" s="77"/>
      <c r="W1096" s="77"/>
      <c r="X1096" s="77"/>
      <c r="Y1096" s="77"/>
      <c r="Z1096" s="77"/>
      <c r="AA1096" s="77"/>
      <c r="AB1096" s="77"/>
      <c r="AC1096" s="77"/>
      <c r="AD1096" s="77"/>
    </row>
    <row r="1097" spans="22:30" x14ac:dyDescent="0.35">
      <c r="V1097" s="77"/>
      <c r="W1097" s="77"/>
      <c r="X1097" s="77"/>
      <c r="Y1097" s="77"/>
      <c r="Z1097" s="77"/>
      <c r="AA1097" s="77"/>
      <c r="AB1097" s="77"/>
      <c r="AC1097" s="77"/>
      <c r="AD1097" s="77"/>
    </row>
    <row r="1098" spans="22:30" x14ac:dyDescent="0.35">
      <c r="V1098" s="77"/>
      <c r="W1098" s="77"/>
      <c r="X1098" s="77"/>
      <c r="Y1098" s="77"/>
      <c r="Z1098" s="77"/>
      <c r="AA1098" s="77"/>
      <c r="AB1098" s="77"/>
      <c r="AC1098" s="77"/>
      <c r="AD1098" s="77"/>
    </row>
    <row r="1099" spans="22:30" x14ac:dyDescent="0.35">
      <c r="V1099" s="77"/>
      <c r="W1099" s="77"/>
      <c r="X1099" s="77"/>
      <c r="Y1099" s="77"/>
      <c r="Z1099" s="77"/>
      <c r="AA1099" s="77"/>
      <c r="AB1099" s="77"/>
      <c r="AC1099" s="77"/>
      <c r="AD1099" s="77"/>
    </row>
    <row r="1100" spans="22:30" x14ac:dyDescent="0.35">
      <c r="V1100" s="77"/>
      <c r="W1100" s="77"/>
      <c r="X1100" s="77"/>
      <c r="Y1100" s="77"/>
      <c r="Z1100" s="77"/>
      <c r="AA1100" s="77"/>
      <c r="AB1100" s="77"/>
      <c r="AC1100" s="77"/>
      <c r="AD1100" s="77"/>
    </row>
    <row r="1101" spans="22:30" x14ac:dyDescent="0.35">
      <c r="V1101" s="77"/>
      <c r="W1101" s="77"/>
      <c r="X1101" s="77"/>
      <c r="Y1101" s="77"/>
      <c r="Z1101" s="77"/>
      <c r="AA1101" s="77"/>
      <c r="AB1101" s="77"/>
      <c r="AC1101" s="77"/>
      <c r="AD1101" s="77"/>
    </row>
    <row r="1102" spans="22:30" x14ac:dyDescent="0.35">
      <c r="V1102" s="77"/>
      <c r="W1102" s="77"/>
      <c r="X1102" s="77"/>
      <c r="Y1102" s="77"/>
      <c r="Z1102" s="77"/>
      <c r="AA1102" s="77"/>
      <c r="AB1102" s="77"/>
      <c r="AC1102" s="77"/>
      <c r="AD1102" s="77"/>
    </row>
    <row r="1103" spans="22:30" x14ac:dyDescent="0.35">
      <c r="V1103" s="77"/>
      <c r="W1103" s="77"/>
      <c r="X1103" s="77"/>
      <c r="Y1103" s="77"/>
      <c r="Z1103" s="77"/>
      <c r="AA1103" s="77"/>
      <c r="AB1103" s="77"/>
      <c r="AC1103" s="77"/>
      <c r="AD1103" s="77"/>
    </row>
    <row r="1104" spans="22:30" x14ac:dyDescent="0.35">
      <c r="V1104" s="77"/>
      <c r="W1104" s="77"/>
      <c r="X1104" s="77"/>
      <c r="Y1104" s="77"/>
      <c r="Z1104" s="77"/>
      <c r="AA1104" s="77"/>
      <c r="AB1104" s="77"/>
      <c r="AC1104" s="77"/>
      <c r="AD1104" s="77"/>
    </row>
    <row r="1105" spans="22:30" x14ac:dyDescent="0.35">
      <c r="V1105" s="77"/>
      <c r="W1105" s="77"/>
      <c r="X1105" s="77"/>
      <c r="Y1105" s="77"/>
      <c r="Z1105" s="77"/>
      <c r="AA1105" s="77"/>
      <c r="AB1105" s="77"/>
      <c r="AC1105" s="77"/>
      <c r="AD1105" s="77"/>
    </row>
    <row r="1106" spans="22:30" x14ac:dyDescent="0.35">
      <c r="V1106" s="77"/>
      <c r="W1106" s="77"/>
      <c r="X1106" s="77"/>
      <c r="Y1106" s="77"/>
      <c r="Z1106" s="77"/>
      <c r="AA1106" s="77"/>
      <c r="AB1106" s="77"/>
      <c r="AC1106" s="77"/>
      <c r="AD1106" s="77"/>
    </row>
    <row r="1107" spans="22:30" x14ac:dyDescent="0.35">
      <c r="V1107" s="77"/>
      <c r="W1107" s="77"/>
      <c r="X1107" s="77"/>
      <c r="Y1107" s="77"/>
      <c r="Z1107" s="77"/>
      <c r="AA1107" s="77"/>
      <c r="AB1107" s="77"/>
      <c r="AC1107" s="77"/>
      <c r="AD1107" s="77"/>
    </row>
    <row r="1108" spans="22:30" x14ac:dyDescent="0.35">
      <c r="V1108" s="77"/>
      <c r="W1108" s="77"/>
      <c r="X1108" s="77"/>
      <c r="Y1108" s="77"/>
      <c r="Z1108" s="77"/>
      <c r="AA1108" s="77"/>
      <c r="AB1108" s="77"/>
      <c r="AC1108" s="77"/>
      <c r="AD1108" s="77"/>
    </row>
    <row r="1109" spans="22:30" x14ac:dyDescent="0.35">
      <c r="V1109" s="77"/>
      <c r="W1109" s="77"/>
      <c r="X1109" s="77"/>
      <c r="Y1109" s="77"/>
      <c r="Z1109" s="77"/>
      <c r="AA1109" s="77"/>
      <c r="AB1109" s="77"/>
      <c r="AC1109" s="77"/>
      <c r="AD1109" s="77"/>
    </row>
    <row r="1110" spans="22:30" x14ac:dyDescent="0.35">
      <c r="V1110" s="77"/>
      <c r="W1110" s="77"/>
      <c r="X1110" s="77"/>
      <c r="Y1110" s="77"/>
      <c r="Z1110" s="77"/>
      <c r="AA1110" s="77"/>
      <c r="AB1110" s="77"/>
      <c r="AC1110" s="77"/>
      <c r="AD1110" s="77"/>
    </row>
    <row r="1111" spans="22:30" x14ac:dyDescent="0.35">
      <c r="V1111" s="77"/>
      <c r="W1111" s="77"/>
      <c r="X1111" s="77"/>
      <c r="Y1111" s="77"/>
      <c r="Z1111" s="77"/>
      <c r="AA1111" s="77"/>
      <c r="AB1111" s="77"/>
      <c r="AC1111" s="77"/>
      <c r="AD1111" s="77"/>
    </row>
    <row r="1112" spans="22:30" x14ac:dyDescent="0.35">
      <c r="V1112" s="77"/>
      <c r="W1112" s="77"/>
      <c r="X1112" s="77"/>
      <c r="Y1112" s="77"/>
      <c r="Z1112" s="77"/>
      <c r="AA1112" s="77"/>
      <c r="AB1112" s="77"/>
      <c r="AC1112" s="77"/>
      <c r="AD1112" s="77"/>
    </row>
    <row r="1113" spans="22:30" x14ac:dyDescent="0.35">
      <c r="V1113" s="77"/>
      <c r="W1113" s="77"/>
      <c r="X1113" s="77"/>
      <c r="Y1113" s="77"/>
      <c r="Z1113" s="77"/>
      <c r="AA1113" s="77"/>
      <c r="AB1113" s="77"/>
      <c r="AC1113" s="77"/>
      <c r="AD1113" s="77"/>
    </row>
    <row r="1114" spans="22:30" x14ac:dyDescent="0.35">
      <c r="V1114" s="77"/>
      <c r="W1114" s="77"/>
      <c r="X1114" s="77"/>
      <c r="Y1114" s="77"/>
      <c r="Z1114" s="77"/>
      <c r="AA1114" s="77"/>
      <c r="AB1114" s="77"/>
      <c r="AC1114" s="77"/>
      <c r="AD1114" s="77"/>
    </row>
    <row r="1115" spans="22:30" x14ac:dyDescent="0.35">
      <c r="V1115" s="77"/>
      <c r="W1115" s="77"/>
      <c r="X1115" s="77"/>
      <c r="Y1115" s="77"/>
      <c r="Z1115" s="77"/>
      <c r="AA1115" s="77"/>
      <c r="AB1115" s="77"/>
      <c r="AC1115" s="77"/>
      <c r="AD1115" s="77"/>
    </row>
    <row r="1116" spans="22:30" x14ac:dyDescent="0.35">
      <c r="V1116" s="77"/>
      <c r="W1116" s="77"/>
      <c r="X1116" s="77"/>
      <c r="Y1116" s="77"/>
      <c r="Z1116" s="77"/>
      <c r="AA1116" s="77"/>
      <c r="AB1116" s="77"/>
      <c r="AC1116" s="77"/>
      <c r="AD1116" s="77"/>
    </row>
    <row r="1117" spans="22:30" x14ac:dyDescent="0.35">
      <c r="V1117" s="77"/>
      <c r="W1117" s="77"/>
      <c r="X1117" s="77"/>
      <c r="Y1117" s="77"/>
      <c r="Z1117" s="77"/>
      <c r="AA1117" s="77"/>
      <c r="AB1117" s="77"/>
      <c r="AC1117" s="77"/>
      <c r="AD1117" s="77"/>
    </row>
    <row r="1118" spans="22:30" x14ac:dyDescent="0.35">
      <c r="V1118" s="77"/>
      <c r="W1118" s="77"/>
      <c r="X1118" s="77"/>
      <c r="Y1118" s="77"/>
      <c r="Z1118" s="77"/>
      <c r="AA1118" s="77"/>
      <c r="AB1118" s="77"/>
      <c r="AC1118" s="77"/>
      <c r="AD1118" s="77"/>
    </row>
    <row r="1119" spans="22:30" x14ac:dyDescent="0.35">
      <c r="V1119" s="77"/>
      <c r="W1119" s="77"/>
      <c r="X1119" s="77"/>
      <c r="Y1119" s="77"/>
      <c r="Z1119" s="77"/>
      <c r="AA1119" s="77"/>
      <c r="AB1119" s="77"/>
      <c r="AC1119" s="77"/>
      <c r="AD1119" s="77"/>
    </row>
    <row r="1120" spans="22:30" x14ac:dyDescent="0.35">
      <c r="V1120" s="77"/>
      <c r="W1120" s="77"/>
      <c r="X1120" s="77"/>
      <c r="Y1120" s="77"/>
      <c r="Z1120" s="77"/>
      <c r="AA1120" s="77"/>
      <c r="AB1120" s="77"/>
      <c r="AC1120" s="77"/>
      <c r="AD1120" s="77"/>
    </row>
    <row r="1121" spans="22:30" x14ac:dyDescent="0.35">
      <c r="V1121" s="77"/>
      <c r="W1121" s="77"/>
      <c r="X1121" s="77"/>
      <c r="Y1121" s="77"/>
      <c r="Z1121" s="77"/>
      <c r="AA1121" s="77"/>
      <c r="AB1121" s="77"/>
      <c r="AC1121" s="77"/>
      <c r="AD1121" s="77"/>
    </row>
    <row r="1122" spans="22:30" x14ac:dyDescent="0.35">
      <c r="V1122" s="77"/>
      <c r="W1122" s="77"/>
      <c r="X1122" s="77"/>
      <c r="Y1122" s="77"/>
      <c r="Z1122" s="77"/>
      <c r="AA1122" s="77"/>
      <c r="AB1122" s="77"/>
      <c r="AC1122" s="77"/>
      <c r="AD1122" s="77"/>
    </row>
    <row r="1123" spans="22:30" x14ac:dyDescent="0.35">
      <c r="V1123" s="77"/>
      <c r="W1123" s="77"/>
      <c r="X1123" s="77"/>
      <c r="Y1123" s="77"/>
      <c r="Z1123" s="77"/>
      <c r="AA1123" s="77"/>
      <c r="AB1123" s="77"/>
      <c r="AC1123" s="77"/>
      <c r="AD1123" s="77"/>
    </row>
    <row r="1124" spans="22:30" x14ac:dyDescent="0.35">
      <c r="V1124" s="77"/>
      <c r="W1124" s="77"/>
      <c r="X1124" s="77"/>
      <c r="Y1124" s="77"/>
      <c r="Z1124" s="77"/>
      <c r="AA1124" s="77"/>
      <c r="AB1124" s="77"/>
      <c r="AC1124" s="77"/>
      <c r="AD1124" s="77"/>
    </row>
    <row r="1125" spans="22:30" x14ac:dyDescent="0.35">
      <c r="V1125" s="77"/>
      <c r="W1125" s="77"/>
      <c r="X1125" s="77"/>
      <c r="Y1125" s="77"/>
      <c r="Z1125" s="77"/>
      <c r="AA1125" s="77"/>
      <c r="AB1125" s="77"/>
      <c r="AC1125" s="77"/>
      <c r="AD1125" s="77"/>
    </row>
    <row r="1126" spans="22:30" x14ac:dyDescent="0.35">
      <c r="V1126" s="77"/>
      <c r="W1126" s="77"/>
      <c r="X1126" s="77"/>
      <c r="Y1126" s="77"/>
      <c r="Z1126" s="77"/>
      <c r="AA1126" s="77"/>
      <c r="AB1126" s="77"/>
      <c r="AC1126" s="77"/>
      <c r="AD1126" s="77"/>
    </row>
    <row r="1127" spans="22:30" x14ac:dyDescent="0.35">
      <c r="V1127" s="77"/>
      <c r="W1127" s="77"/>
      <c r="X1127" s="77"/>
      <c r="Y1127" s="77"/>
      <c r="Z1127" s="77"/>
      <c r="AA1127" s="77"/>
      <c r="AB1127" s="77"/>
      <c r="AC1127" s="77"/>
      <c r="AD1127" s="77"/>
    </row>
    <row r="1128" spans="22:30" x14ac:dyDescent="0.35">
      <c r="V1128" s="77"/>
      <c r="W1128" s="77"/>
      <c r="X1128" s="77"/>
      <c r="Y1128" s="77"/>
      <c r="Z1128" s="77"/>
      <c r="AA1128" s="77"/>
      <c r="AB1128" s="77"/>
      <c r="AC1128" s="77"/>
      <c r="AD1128" s="77"/>
    </row>
    <row r="1129" spans="22:30" x14ac:dyDescent="0.35">
      <c r="V1129" s="77"/>
      <c r="W1129" s="77"/>
      <c r="X1129" s="77"/>
      <c r="Y1129" s="77"/>
      <c r="Z1129" s="77"/>
      <c r="AA1129" s="77"/>
      <c r="AB1129" s="77"/>
      <c r="AC1129" s="77"/>
      <c r="AD1129" s="77"/>
    </row>
    <row r="1130" spans="22:30" x14ac:dyDescent="0.35">
      <c r="V1130" s="77"/>
      <c r="W1130" s="77"/>
      <c r="X1130" s="77"/>
      <c r="Y1130" s="77"/>
      <c r="Z1130" s="77"/>
      <c r="AA1130" s="77"/>
      <c r="AB1130" s="77"/>
      <c r="AC1130" s="77"/>
      <c r="AD1130" s="77"/>
    </row>
    <row r="1131" spans="22:30" x14ac:dyDescent="0.35">
      <c r="V1131" s="77"/>
      <c r="W1131" s="77"/>
      <c r="X1131" s="77"/>
      <c r="Y1131" s="77"/>
      <c r="Z1131" s="77"/>
      <c r="AA1131" s="77"/>
      <c r="AB1131" s="77"/>
      <c r="AC1131" s="77"/>
      <c r="AD1131" s="77"/>
    </row>
    <row r="1132" spans="22:30" x14ac:dyDescent="0.35">
      <c r="V1132" s="77"/>
      <c r="W1132" s="77"/>
      <c r="X1132" s="77"/>
      <c r="Y1132" s="77"/>
      <c r="Z1132" s="77"/>
      <c r="AA1132" s="77"/>
      <c r="AB1132" s="77"/>
      <c r="AC1132" s="77"/>
      <c r="AD1132" s="77"/>
    </row>
    <row r="1133" spans="22:30" x14ac:dyDescent="0.35">
      <c r="V1133" s="77"/>
      <c r="W1133" s="77"/>
      <c r="X1133" s="77"/>
      <c r="Y1133" s="77"/>
      <c r="Z1133" s="77"/>
      <c r="AA1133" s="77"/>
      <c r="AB1133" s="77"/>
      <c r="AC1133" s="77"/>
      <c r="AD1133" s="77"/>
    </row>
    <row r="1134" spans="22:30" x14ac:dyDescent="0.35">
      <c r="V1134" s="77"/>
      <c r="W1134" s="77"/>
      <c r="X1134" s="77"/>
      <c r="Y1134" s="77"/>
      <c r="Z1134" s="77"/>
      <c r="AA1134" s="77"/>
      <c r="AB1134" s="77"/>
      <c r="AC1134" s="77"/>
      <c r="AD1134" s="77"/>
    </row>
    <row r="1135" spans="22:30" x14ac:dyDescent="0.35">
      <c r="V1135" s="77"/>
      <c r="W1135" s="77"/>
      <c r="X1135" s="77"/>
      <c r="Y1135" s="77"/>
      <c r="Z1135" s="77"/>
      <c r="AA1135" s="77"/>
      <c r="AB1135" s="77"/>
      <c r="AC1135" s="77"/>
      <c r="AD1135" s="77"/>
    </row>
    <row r="1136" spans="22:30" x14ac:dyDescent="0.35">
      <c r="V1136" s="77"/>
      <c r="W1136" s="77"/>
      <c r="X1136" s="77"/>
      <c r="Y1136" s="77"/>
      <c r="Z1136" s="77"/>
      <c r="AA1136" s="77"/>
      <c r="AB1136" s="77"/>
      <c r="AC1136" s="77"/>
      <c r="AD1136" s="77"/>
    </row>
    <row r="1137" spans="22:30" x14ac:dyDescent="0.35">
      <c r="V1137" s="77"/>
      <c r="W1137" s="77"/>
      <c r="X1137" s="77"/>
      <c r="Y1137" s="77"/>
      <c r="Z1137" s="77"/>
      <c r="AA1137" s="77"/>
      <c r="AB1137" s="77"/>
      <c r="AC1137" s="77"/>
      <c r="AD1137" s="77"/>
    </row>
    <row r="1138" spans="22:30" x14ac:dyDescent="0.35">
      <c r="V1138" s="77"/>
      <c r="W1138" s="77"/>
      <c r="X1138" s="77"/>
      <c r="Y1138" s="77"/>
      <c r="Z1138" s="77"/>
      <c r="AA1138" s="77"/>
      <c r="AB1138" s="77"/>
      <c r="AC1138" s="77"/>
      <c r="AD1138" s="77"/>
    </row>
    <row r="1139" spans="22:30" x14ac:dyDescent="0.35">
      <c r="V1139" s="77"/>
      <c r="W1139" s="77"/>
      <c r="X1139" s="77"/>
      <c r="Y1139" s="77"/>
      <c r="Z1139" s="77"/>
      <c r="AA1139" s="77"/>
      <c r="AB1139" s="77"/>
      <c r="AC1139" s="77"/>
      <c r="AD1139" s="77"/>
    </row>
    <row r="1140" spans="22:30" x14ac:dyDescent="0.35">
      <c r="V1140" s="77"/>
      <c r="W1140" s="77"/>
      <c r="X1140" s="77"/>
      <c r="Y1140" s="77"/>
      <c r="Z1140" s="77"/>
      <c r="AA1140" s="77"/>
      <c r="AB1140" s="77"/>
      <c r="AC1140" s="77"/>
      <c r="AD1140" s="77"/>
    </row>
    <row r="1141" spans="22:30" x14ac:dyDescent="0.35">
      <c r="V1141" s="77"/>
      <c r="W1141" s="77"/>
      <c r="X1141" s="77"/>
      <c r="Y1141" s="77"/>
      <c r="Z1141" s="77"/>
      <c r="AA1141" s="77"/>
      <c r="AB1141" s="77"/>
      <c r="AC1141" s="77"/>
      <c r="AD1141" s="77"/>
    </row>
    <row r="1142" spans="22:30" x14ac:dyDescent="0.35">
      <c r="V1142" s="77"/>
      <c r="W1142" s="77"/>
      <c r="X1142" s="77"/>
      <c r="Y1142" s="77"/>
      <c r="Z1142" s="77"/>
      <c r="AA1142" s="77"/>
      <c r="AB1142" s="77"/>
      <c r="AC1142" s="77"/>
      <c r="AD1142" s="77"/>
    </row>
    <row r="1143" spans="22:30" x14ac:dyDescent="0.35">
      <c r="V1143" s="77"/>
      <c r="W1143" s="77"/>
      <c r="X1143" s="77"/>
      <c r="Y1143" s="77"/>
      <c r="Z1143" s="77"/>
      <c r="AA1143" s="77"/>
      <c r="AB1143" s="77"/>
      <c r="AC1143" s="77"/>
      <c r="AD1143" s="77"/>
    </row>
    <row r="1144" spans="22:30" x14ac:dyDescent="0.35">
      <c r="V1144" s="77"/>
      <c r="W1144" s="77"/>
      <c r="X1144" s="77"/>
      <c r="Y1144" s="77"/>
      <c r="Z1144" s="77"/>
      <c r="AA1144" s="77"/>
      <c r="AB1144" s="77"/>
      <c r="AC1144" s="77"/>
      <c r="AD1144" s="77"/>
    </row>
    <row r="1145" spans="22:30" x14ac:dyDescent="0.35">
      <c r="V1145" s="77"/>
      <c r="W1145" s="77"/>
      <c r="X1145" s="77"/>
      <c r="Y1145" s="77"/>
      <c r="Z1145" s="77"/>
      <c r="AA1145" s="77"/>
      <c r="AB1145" s="77"/>
      <c r="AC1145" s="77"/>
      <c r="AD1145" s="77"/>
    </row>
    <row r="1146" spans="22:30" x14ac:dyDescent="0.35">
      <c r="V1146" s="77"/>
      <c r="W1146" s="77"/>
      <c r="X1146" s="77"/>
      <c r="Y1146" s="77"/>
      <c r="Z1146" s="77"/>
      <c r="AA1146" s="77"/>
      <c r="AB1146" s="77"/>
      <c r="AC1146" s="77"/>
      <c r="AD1146" s="77"/>
    </row>
    <row r="1147" spans="22:30" x14ac:dyDescent="0.35">
      <c r="V1147" s="77"/>
      <c r="W1147" s="77"/>
      <c r="X1147" s="77"/>
      <c r="Y1147" s="77"/>
      <c r="Z1147" s="77"/>
      <c r="AA1147" s="77"/>
      <c r="AB1147" s="77"/>
      <c r="AC1147" s="77"/>
      <c r="AD1147" s="77"/>
    </row>
    <row r="1148" spans="22:30" x14ac:dyDescent="0.35">
      <c r="V1148" s="77"/>
      <c r="W1148" s="77"/>
      <c r="X1148" s="77"/>
      <c r="Y1148" s="77"/>
      <c r="Z1148" s="77"/>
      <c r="AA1148" s="77"/>
      <c r="AB1148" s="77"/>
      <c r="AC1148" s="77"/>
      <c r="AD1148" s="77"/>
    </row>
    <row r="1149" spans="22:30" x14ac:dyDescent="0.35">
      <c r="V1149" s="77"/>
      <c r="W1149" s="77"/>
      <c r="X1149" s="77"/>
      <c r="Y1149" s="77"/>
      <c r="Z1149" s="77"/>
      <c r="AA1149" s="77"/>
      <c r="AB1149" s="77"/>
      <c r="AC1149" s="77"/>
      <c r="AD1149" s="77"/>
    </row>
    <row r="1150" spans="22:30" x14ac:dyDescent="0.35">
      <c r="V1150" s="77"/>
      <c r="W1150" s="77"/>
      <c r="X1150" s="77"/>
      <c r="Y1150" s="77"/>
      <c r="Z1150" s="77"/>
      <c r="AA1150" s="77"/>
      <c r="AB1150" s="77"/>
      <c r="AC1150" s="77"/>
      <c r="AD1150" s="77"/>
    </row>
    <row r="1151" spans="22:30" x14ac:dyDescent="0.35">
      <c r="V1151" s="77"/>
      <c r="W1151" s="77"/>
      <c r="X1151" s="77"/>
      <c r="Y1151" s="77"/>
      <c r="Z1151" s="77"/>
      <c r="AA1151" s="77"/>
      <c r="AB1151" s="77"/>
      <c r="AC1151" s="77"/>
      <c r="AD1151" s="77"/>
    </row>
    <row r="1152" spans="22:30" x14ac:dyDescent="0.35">
      <c r="V1152" s="77"/>
      <c r="W1152" s="77"/>
      <c r="X1152" s="77"/>
      <c r="Y1152" s="77"/>
      <c r="Z1152" s="77"/>
      <c r="AA1152" s="77"/>
      <c r="AB1152" s="77"/>
      <c r="AC1152" s="77"/>
      <c r="AD1152" s="77"/>
    </row>
    <row r="1153" spans="22:30" x14ac:dyDescent="0.35">
      <c r="V1153" s="77"/>
      <c r="W1153" s="77"/>
      <c r="X1153" s="77"/>
      <c r="Y1153" s="77"/>
      <c r="Z1153" s="77"/>
      <c r="AA1153" s="77"/>
      <c r="AB1153" s="77"/>
      <c r="AC1153" s="77"/>
      <c r="AD1153" s="77"/>
    </row>
    <row r="1154" spans="22:30" x14ac:dyDescent="0.35">
      <c r="V1154" s="77"/>
      <c r="W1154" s="77"/>
      <c r="X1154" s="77"/>
      <c r="Y1154" s="77"/>
      <c r="Z1154" s="77"/>
      <c r="AA1154" s="77"/>
      <c r="AB1154" s="77"/>
      <c r="AC1154" s="77"/>
      <c r="AD1154" s="77"/>
    </row>
    <row r="1155" spans="22:30" x14ac:dyDescent="0.35">
      <c r="V1155" s="77"/>
      <c r="W1155" s="77"/>
      <c r="X1155" s="77"/>
      <c r="Y1155" s="77"/>
      <c r="Z1155" s="77"/>
      <c r="AA1155" s="77"/>
      <c r="AB1155" s="77"/>
      <c r="AC1155" s="77"/>
      <c r="AD1155" s="77"/>
    </row>
    <row r="1156" spans="22:30" x14ac:dyDescent="0.35">
      <c r="V1156" s="77"/>
      <c r="W1156" s="77"/>
      <c r="X1156" s="77"/>
      <c r="Y1156" s="77"/>
      <c r="Z1156" s="77"/>
      <c r="AA1156" s="77"/>
      <c r="AB1156" s="77"/>
      <c r="AC1156" s="77"/>
      <c r="AD1156" s="77"/>
    </row>
    <row r="1157" spans="22:30" x14ac:dyDescent="0.35">
      <c r="V1157" s="77"/>
      <c r="W1157" s="77"/>
      <c r="X1157" s="77"/>
      <c r="Y1157" s="77"/>
      <c r="Z1157" s="77"/>
      <c r="AA1157" s="77"/>
      <c r="AB1157" s="77"/>
      <c r="AC1157" s="77"/>
      <c r="AD1157" s="77"/>
    </row>
    <row r="1158" spans="22:30" x14ac:dyDescent="0.35">
      <c r="V1158" s="77"/>
      <c r="W1158" s="77"/>
      <c r="X1158" s="77"/>
      <c r="Y1158" s="77"/>
      <c r="Z1158" s="77"/>
      <c r="AA1158" s="77"/>
      <c r="AB1158" s="77"/>
      <c r="AC1158" s="77"/>
      <c r="AD1158" s="77"/>
    </row>
    <row r="1159" spans="22:30" x14ac:dyDescent="0.35">
      <c r="V1159" s="77"/>
      <c r="W1159" s="77"/>
      <c r="X1159" s="77"/>
      <c r="Y1159" s="77"/>
      <c r="Z1159" s="77"/>
      <c r="AA1159" s="77"/>
      <c r="AB1159" s="77"/>
      <c r="AC1159" s="77"/>
      <c r="AD1159" s="77"/>
    </row>
    <row r="1160" spans="22:30" x14ac:dyDescent="0.35">
      <c r="V1160" s="77"/>
      <c r="W1160" s="77"/>
      <c r="X1160" s="77"/>
      <c r="Y1160" s="77"/>
      <c r="Z1160" s="77"/>
      <c r="AA1160" s="77"/>
      <c r="AB1160" s="77"/>
      <c r="AC1160" s="77"/>
      <c r="AD1160" s="77"/>
    </row>
    <row r="1161" spans="22:30" x14ac:dyDescent="0.35">
      <c r="V1161" s="77"/>
      <c r="W1161" s="77"/>
      <c r="X1161" s="77"/>
      <c r="Y1161" s="77"/>
      <c r="Z1161" s="77"/>
      <c r="AA1161" s="77"/>
      <c r="AB1161" s="77"/>
      <c r="AC1161" s="77"/>
      <c r="AD1161" s="77"/>
    </row>
    <row r="1162" spans="22:30" x14ac:dyDescent="0.35">
      <c r="V1162" s="77"/>
      <c r="W1162" s="77"/>
      <c r="X1162" s="77"/>
      <c r="Y1162" s="77"/>
      <c r="Z1162" s="77"/>
      <c r="AA1162" s="77"/>
      <c r="AB1162" s="77"/>
      <c r="AC1162" s="77"/>
      <c r="AD1162" s="77"/>
    </row>
    <row r="1163" spans="22:30" x14ac:dyDescent="0.35">
      <c r="V1163" s="77"/>
      <c r="W1163" s="77"/>
      <c r="X1163" s="77"/>
      <c r="Y1163" s="77"/>
      <c r="Z1163" s="77"/>
      <c r="AA1163" s="77"/>
      <c r="AB1163" s="77"/>
      <c r="AC1163" s="77"/>
      <c r="AD1163" s="77"/>
    </row>
    <row r="1164" spans="22:30" x14ac:dyDescent="0.35">
      <c r="V1164" s="77"/>
      <c r="W1164" s="77"/>
      <c r="X1164" s="77"/>
      <c r="Y1164" s="77"/>
      <c r="Z1164" s="77"/>
      <c r="AA1164" s="77"/>
      <c r="AB1164" s="77"/>
      <c r="AC1164" s="77"/>
      <c r="AD1164" s="77"/>
    </row>
    <row r="1165" spans="22:30" x14ac:dyDescent="0.35">
      <c r="V1165" s="77"/>
      <c r="W1165" s="77"/>
      <c r="X1165" s="77"/>
      <c r="Y1165" s="77"/>
      <c r="Z1165" s="77"/>
      <c r="AA1165" s="77"/>
      <c r="AB1165" s="77"/>
      <c r="AC1165" s="77"/>
      <c r="AD1165" s="77"/>
    </row>
    <row r="1166" spans="22:30" x14ac:dyDescent="0.35">
      <c r="V1166" s="77"/>
      <c r="W1166" s="77"/>
      <c r="X1166" s="77"/>
      <c r="Y1166" s="77"/>
      <c r="Z1166" s="77"/>
      <c r="AA1166" s="77"/>
      <c r="AB1166" s="77"/>
      <c r="AC1166" s="77"/>
      <c r="AD1166" s="77"/>
    </row>
    <row r="1167" spans="22:30" x14ac:dyDescent="0.35">
      <c r="V1167" s="77"/>
      <c r="W1167" s="77"/>
      <c r="X1167" s="77"/>
      <c r="Y1167" s="77"/>
      <c r="Z1167" s="77"/>
      <c r="AA1167" s="77"/>
      <c r="AB1167" s="77"/>
      <c r="AC1167" s="77"/>
      <c r="AD1167" s="77"/>
    </row>
    <row r="1168" spans="22:30" x14ac:dyDescent="0.35">
      <c r="V1168" s="77"/>
      <c r="W1168" s="77"/>
      <c r="X1168" s="77"/>
      <c r="Y1168" s="77"/>
      <c r="Z1168" s="77"/>
      <c r="AA1168" s="77"/>
      <c r="AB1168" s="77"/>
      <c r="AC1168" s="77"/>
      <c r="AD1168" s="77"/>
    </row>
    <row r="1169" spans="22:30" x14ac:dyDescent="0.35">
      <c r="V1169" s="77"/>
      <c r="W1169" s="77"/>
      <c r="X1169" s="77"/>
      <c r="Y1169" s="77"/>
      <c r="Z1169" s="77"/>
      <c r="AA1169" s="77"/>
      <c r="AB1169" s="77"/>
      <c r="AC1169" s="77"/>
      <c r="AD1169" s="77"/>
    </row>
    <row r="1170" spans="22:30" x14ac:dyDescent="0.35">
      <c r="V1170" s="77"/>
      <c r="W1170" s="77"/>
      <c r="X1170" s="77"/>
      <c r="Y1170" s="77"/>
      <c r="Z1170" s="77"/>
      <c r="AA1170" s="77"/>
      <c r="AB1170" s="77"/>
      <c r="AC1170" s="77"/>
      <c r="AD1170" s="77"/>
    </row>
    <row r="1171" spans="22:30" x14ac:dyDescent="0.35">
      <c r="V1171" s="77"/>
      <c r="W1171" s="77"/>
      <c r="X1171" s="77"/>
      <c r="Y1171" s="77"/>
      <c r="Z1171" s="77"/>
      <c r="AA1171" s="77"/>
      <c r="AB1171" s="77"/>
      <c r="AC1171" s="77"/>
      <c r="AD1171" s="77"/>
    </row>
    <row r="1172" spans="22:30" x14ac:dyDescent="0.35">
      <c r="V1172" s="77"/>
      <c r="W1172" s="77"/>
      <c r="X1172" s="77"/>
      <c r="Y1172" s="77"/>
      <c r="Z1172" s="77"/>
      <c r="AA1172" s="77"/>
      <c r="AB1172" s="77"/>
      <c r="AC1172" s="77"/>
      <c r="AD1172" s="77"/>
    </row>
    <row r="1173" spans="22:30" x14ac:dyDescent="0.35">
      <c r="V1173" s="77"/>
      <c r="W1173" s="77"/>
      <c r="X1173" s="77"/>
      <c r="Y1173" s="77"/>
      <c r="Z1173" s="77"/>
      <c r="AA1173" s="77"/>
      <c r="AB1173" s="77"/>
      <c r="AC1173" s="77"/>
      <c r="AD1173" s="77"/>
    </row>
    <row r="1174" spans="22:30" x14ac:dyDescent="0.35">
      <c r="V1174" s="77"/>
      <c r="W1174" s="77"/>
      <c r="X1174" s="77"/>
      <c r="Y1174" s="77"/>
      <c r="Z1174" s="77"/>
      <c r="AA1174" s="77"/>
      <c r="AB1174" s="77"/>
      <c r="AC1174" s="77"/>
      <c r="AD1174" s="77"/>
    </row>
    <row r="1175" spans="22:30" x14ac:dyDescent="0.35">
      <c r="V1175" s="77"/>
      <c r="W1175" s="77"/>
      <c r="X1175" s="77"/>
      <c r="Y1175" s="77"/>
      <c r="Z1175" s="77"/>
      <c r="AA1175" s="77"/>
      <c r="AB1175" s="77"/>
      <c r="AC1175" s="77"/>
      <c r="AD1175" s="77"/>
    </row>
    <row r="1176" spans="22:30" x14ac:dyDescent="0.35">
      <c r="V1176" s="77"/>
      <c r="W1176" s="77"/>
      <c r="X1176" s="77"/>
      <c r="Y1176" s="77"/>
      <c r="Z1176" s="77"/>
      <c r="AA1176" s="77"/>
      <c r="AB1176" s="77"/>
      <c r="AC1176" s="77"/>
      <c r="AD1176" s="77"/>
    </row>
    <row r="1177" spans="22:30" x14ac:dyDescent="0.35">
      <c r="V1177" s="77"/>
      <c r="W1177" s="77"/>
      <c r="X1177" s="77"/>
      <c r="Y1177" s="77"/>
      <c r="Z1177" s="77"/>
      <c r="AA1177" s="77"/>
      <c r="AB1177" s="77"/>
      <c r="AC1177" s="77"/>
      <c r="AD1177" s="77"/>
    </row>
    <row r="1178" spans="22:30" x14ac:dyDescent="0.35">
      <c r="V1178" s="77"/>
      <c r="W1178" s="77"/>
      <c r="X1178" s="77"/>
      <c r="Y1178" s="77"/>
      <c r="Z1178" s="77"/>
      <c r="AA1178" s="77"/>
      <c r="AB1178" s="77"/>
      <c r="AC1178" s="77"/>
      <c r="AD1178" s="77"/>
    </row>
    <row r="1179" spans="22:30" x14ac:dyDescent="0.35">
      <c r="V1179" s="77"/>
      <c r="W1179" s="77"/>
      <c r="X1179" s="77"/>
      <c r="Y1179" s="77"/>
      <c r="Z1179" s="77"/>
      <c r="AA1179" s="77"/>
      <c r="AB1179" s="77"/>
      <c r="AC1179" s="77"/>
      <c r="AD1179" s="77"/>
    </row>
    <row r="1180" spans="22:30" x14ac:dyDescent="0.35">
      <c r="V1180" s="77"/>
      <c r="W1180" s="77"/>
      <c r="X1180" s="77"/>
      <c r="Y1180" s="77"/>
      <c r="Z1180" s="77"/>
      <c r="AA1180" s="77"/>
      <c r="AB1180" s="77"/>
      <c r="AC1180" s="77"/>
      <c r="AD1180" s="77"/>
    </row>
    <row r="1181" spans="22:30" x14ac:dyDescent="0.35">
      <c r="V1181" s="77"/>
      <c r="W1181" s="77"/>
      <c r="X1181" s="77"/>
      <c r="Y1181" s="77"/>
      <c r="Z1181" s="77"/>
      <c r="AA1181" s="77"/>
      <c r="AB1181" s="77"/>
      <c r="AC1181" s="77"/>
      <c r="AD1181" s="77"/>
    </row>
    <row r="1182" spans="22:30" x14ac:dyDescent="0.35">
      <c r="V1182" s="77"/>
      <c r="W1182" s="77"/>
      <c r="X1182" s="77"/>
      <c r="Y1182" s="77"/>
      <c r="Z1182" s="77"/>
      <c r="AA1182" s="77"/>
      <c r="AB1182" s="77"/>
      <c r="AC1182" s="77"/>
      <c r="AD1182" s="77"/>
    </row>
    <row r="1183" spans="22:30" x14ac:dyDescent="0.35">
      <c r="V1183" s="77"/>
      <c r="W1183" s="77"/>
      <c r="X1183" s="77"/>
      <c r="Y1183" s="77"/>
      <c r="Z1183" s="77"/>
      <c r="AA1183" s="77"/>
      <c r="AB1183" s="77"/>
      <c r="AC1183" s="77"/>
      <c r="AD1183" s="77"/>
    </row>
    <row r="1184" spans="22:30" x14ac:dyDescent="0.35">
      <c r="V1184" s="77"/>
      <c r="W1184" s="77"/>
      <c r="X1184" s="77"/>
      <c r="Y1184" s="77"/>
      <c r="Z1184" s="77"/>
      <c r="AA1184" s="77"/>
      <c r="AB1184" s="77"/>
      <c r="AC1184" s="77"/>
      <c r="AD1184" s="77"/>
    </row>
    <row r="1185" spans="22:30" x14ac:dyDescent="0.35">
      <c r="V1185" s="77"/>
      <c r="W1185" s="77"/>
      <c r="X1185" s="77"/>
      <c r="Y1185" s="77"/>
      <c r="Z1185" s="77"/>
      <c r="AA1185" s="77"/>
      <c r="AB1185" s="77"/>
      <c r="AC1185" s="77"/>
      <c r="AD1185" s="77"/>
    </row>
    <row r="1186" spans="22:30" x14ac:dyDescent="0.35">
      <c r="V1186" s="77"/>
      <c r="W1186" s="77"/>
      <c r="X1186" s="77"/>
      <c r="Y1186" s="77"/>
      <c r="Z1186" s="77"/>
      <c r="AA1186" s="77"/>
      <c r="AB1186" s="77"/>
      <c r="AC1186" s="77"/>
      <c r="AD1186" s="77"/>
    </row>
    <row r="1187" spans="22:30" x14ac:dyDescent="0.35">
      <c r="V1187" s="77"/>
      <c r="W1187" s="77"/>
      <c r="X1187" s="77"/>
      <c r="Y1187" s="77"/>
      <c r="Z1187" s="77"/>
      <c r="AA1187" s="77"/>
      <c r="AB1187" s="77"/>
      <c r="AC1187" s="77"/>
      <c r="AD1187" s="77"/>
    </row>
    <row r="1188" spans="22:30" x14ac:dyDescent="0.35">
      <c r="V1188" s="77"/>
      <c r="W1188" s="77"/>
      <c r="X1188" s="77"/>
      <c r="Y1188" s="77"/>
      <c r="Z1188" s="77"/>
      <c r="AA1188" s="77"/>
      <c r="AB1188" s="77"/>
      <c r="AC1188" s="77"/>
      <c r="AD1188" s="77"/>
    </row>
    <row r="1189" spans="22:30" x14ac:dyDescent="0.35">
      <c r="V1189" s="77"/>
      <c r="W1189" s="77"/>
      <c r="X1189" s="77"/>
      <c r="Y1189" s="77"/>
      <c r="Z1189" s="77"/>
      <c r="AA1189" s="77"/>
      <c r="AB1189" s="77"/>
      <c r="AC1189" s="77"/>
      <c r="AD1189" s="77"/>
    </row>
    <row r="1190" spans="22:30" x14ac:dyDescent="0.35">
      <c r="V1190" s="77"/>
      <c r="W1190" s="77"/>
      <c r="X1190" s="77"/>
      <c r="Y1190" s="77"/>
      <c r="Z1190" s="77"/>
      <c r="AA1190" s="77"/>
      <c r="AB1190" s="77"/>
      <c r="AC1190" s="77"/>
      <c r="AD1190" s="77"/>
    </row>
    <row r="1191" spans="22:30" x14ac:dyDescent="0.35">
      <c r="V1191" s="77"/>
      <c r="W1191" s="77"/>
      <c r="X1191" s="77"/>
      <c r="Y1191" s="77"/>
      <c r="Z1191" s="77"/>
      <c r="AA1191" s="77"/>
      <c r="AB1191" s="77"/>
      <c r="AC1191" s="77"/>
      <c r="AD1191" s="77"/>
    </row>
    <row r="1192" spans="22:30" x14ac:dyDescent="0.35">
      <c r="V1192" s="77"/>
      <c r="W1192" s="77"/>
      <c r="X1192" s="77"/>
      <c r="Y1192" s="77"/>
      <c r="Z1192" s="77"/>
      <c r="AA1192" s="77"/>
      <c r="AB1192" s="77"/>
      <c r="AC1192" s="77"/>
      <c r="AD1192" s="77"/>
    </row>
    <row r="1193" spans="22:30" x14ac:dyDescent="0.35">
      <c r="V1193" s="77"/>
      <c r="W1193" s="77"/>
      <c r="X1193" s="77"/>
      <c r="Y1193" s="77"/>
      <c r="Z1193" s="77"/>
      <c r="AA1193" s="77"/>
      <c r="AB1193" s="77"/>
      <c r="AC1193" s="77"/>
      <c r="AD1193" s="77"/>
    </row>
    <row r="1194" spans="22:30" x14ac:dyDescent="0.35">
      <c r="V1194" s="77"/>
      <c r="W1194" s="77"/>
      <c r="X1194" s="77"/>
      <c r="Y1194" s="77"/>
      <c r="Z1194" s="77"/>
      <c r="AA1194" s="77"/>
      <c r="AB1194" s="77"/>
      <c r="AC1194" s="77"/>
      <c r="AD1194" s="77"/>
    </row>
    <row r="1195" spans="22:30" x14ac:dyDescent="0.35">
      <c r="V1195" s="77"/>
      <c r="W1195" s="77"/>
      <c r="X1195" s="77"/>
      <c r="Y1195" s="77"/>
      <c r="Z1195" s="77"/>
      <c r="AA1195" s="77"/>
      <c r="AB1195" s="77"/>
      <c r="AC1195" s="77"/>
      <c r="AD1195" s="77"/>
    </row>
    <row r="1196" spans="22:30" x14ac:dyDescent="0.35">
      <c r="V1196" s="77"/>
      <c r="W1196" s="77"/>
      <c r="X1196" s="77"/>
      <c r="Y1196" s="77"/>
      <c r="Z1196" s="77"/>
      <c r="AA1196" s="77"/>
      <c r="AB1196" s="77"/>
      <c r="AC1196" s="77"/>
      <c r="AD1196" s="77"/>
    </row>
    <row r="1197" spans="22:30" x14ac:dyDescent="0.35">
      <c r="V1197" s="77"/>
      <c r="W1197" s="77"/>
      <c r="X1197" s="77"/>
      <c r="Y1197" s="77"/>
      <c r="Z1197" s="77"/>
      <c r="AA1197" s="77"/>
      <c r="AB1197" s="77"/>
      <c r="AC1197" s="77"/>
      <c r="AD1197" s="77"/>
    </row>
    <row r="1198" spans="22:30" x14ac:dyDescent="0.35">
      <c r="V1198" s="77"/>
      <c r="W1198" s="77"/>
      <c r="X1198" s="77"/>
      <c r="Y1198" s="77"/>
      <c r="Z1198" s="77"/>
      <c r="AA1198" s="77"/>
      <c r="AB1198" s="77"/>
      <c r="AC1198" s="77"/>
      <c r="AD1198" s="77"/>
    </row>
    <row r="1199" spans="22:30" x14ac:dyDescent="0.35">
      <c r="V1199" s="77"/>
      <c r="W1199" s="77"/>
      <c r="X1199" s="77"/>
      <c r="Y1199" s="77"/>
      <c r="Z1199" s="77"/>
      <c r="AA1199" s="77"/>
      <c r="AB1199" s="77"/>
      <c r="AC1199" s="77"/>
      <c r="AD1199" s="77"/>
    </row>
    <row r="1200" spans="22:30" x14ac:dyDescent="0.35">
      <c r="V1200" s="77"/>
      <c r="W1200" s="77"/>
      <c r="X1200" s="77"/>
      <c r="Y1200" s="77"/>
      <c r="Z1200" s="77"/>
      <c r="AA1200" s="77"/>
      <c r="AB1200" s="77"/>
      <c r="AC1200" s="77"/>
      <c r="AD1200" s="77"/>
    </row>
    <row r="1201" spans="22:30" x14ac:dyDescent="0.35">
      <c r="V1201" s="77"/>
      <c r="W1201" s="77"/>
      <c r="X1201" s="77"/>
      <c r="Y1201" s="77"/>
      <c r="Z1201" s="77"/>
      <c r="AA1201" s="77"/>
      <c r="AB1201" s="77"/>
      <c r="AC1201" s="77"/>
      <c r="AD1201" s="77"/>
    </row>
    <row r="1202" spans="22:30" x14ac:dyDescent="0.35">
      <c r="V1202" s="77"/>
      <c r="W1202" s="77"/>
      <c r="X1202" s="77"/>
      <c r="Y1202" s="77"/>
      <c r="Z1202" s="77"/>
      <c r="AA1202" s="77"/>
      <c r="AB1202" s="77"/>
      <c r="AC1202" s="77"/>
      <c r="AD1202" s="77"/>
    </row>
    <row r="1203" spans="22:30" x14ac:dyDescent="0.35">
      <c r="V1203" s="77"/>
      <c r="W1203" s="77"/>
      <c r="X1203" s="77"/>
      <c r="Y1203" s="77"/>
      <c r="Z1203" s="77"/>
      <c r="AA1203" s="77"/>
      <c r="AB1203" s="77"/>
      <c r="AC1203" s="77"/>
      <c r="AD1203" s="77"/>
    </row>
    <row r="1204" spans="22:30" x14ac:dyDescent="0.35">
      <c r="V1204" s="77"/>
      <c r="W1204" s="77"/>
      <c r="X1204" s="77"/>
      <c r="Y1204" s="77"/>
      <c r="Z1204" s="77"/>
      <c r="AA1204" s="77"/>
      <c r="AB1204" s="77"/>
      <c r="AC1204" s="77"/>
      <c r="AD1204" s="77"/>
    </row>
    <row r="1205" spans="22:30" x14ac:dyDescent="0.35">
      <c r="V1205" s="77"/>
      <c r="W1205" s="77"/>
      <c r="X1205" s="77"/>
      <c r="Y1205" s="77"/>
      <c r="Z1205" s="77"/>
      <c r="AA1205" s="77"/>
      <c r="AB1205" s="77"/>
      <c r="AC1205" s="77"/>
      <c r="AD1205" s="77"/>
    </row>
    <row r="1206" spans="22:30" x14ac:dyDescent="0.35">
      <c r="V1206" s="77"/>
      <c r="W1206" s="77"/>
      <c r="X1206" s="77"/>
      <c r="Y1206" s="77"/>
      <c r="Z1206" s="77"/>
      <c r="AA1206" s="77"/>
      <c r="AB1206" s="77"/>
      <c r="AC1206" s="77"/>
      <c r="AD1206" s="77"/>
    </row>
    <row r="1207" spans="22:30" x14ac:dyDescent="0.35">
      <c r="V1207" s="77"/>
      <c r="W1207" s="77"/>
      <c r="X1207" s="77"/>
      <c r="Y1207" s="77"/>
      <c r="Z1207" s="77"/>
      <c r="AA1207" s="77"/>
      <c r="AB1207" s="77"/>
      <c r="AC1207" s="77"/>
      <c r="AD1207" s="77"/>
    </row>
    <row r="1208" spans="22:30" x14ac:dyDescent="0.35">
      <c r="V1208" s="77"/>
      <c r="W1208" s="77"/>
      <c r="X1208" s="77"/>
      <c r="Y1208" s="77"/>
      <c r="Z1208" s="77"/>
      <c r="AA1208" s="77"/>
      <c r="AB1208" s="77"/>
      <c r="AC1208" s="77"/>
      <c r="AD1208" s="77"/>
    </row>
    <row r="1209" spans="22:30" x14ac:dyDescent="0.35">
      <c r="V1209" s="77"/>
      <c r="W1209" s="77"/>
      <c r="X1209" s="77"/>
      <c r="Y1209" s="77"/>
      <c r="Z1209" s="77"/>
      <c r="AA1209" s="77"/>
      <c r="AB1209" s="77"/>
      <c r="AC1209" s="77"/>
      <c r="AD1209" s="77"/>
    </row>
    <row r="1210" spans="22:30" x14ac:dyDescent="0.35">
      <c r="V1210" s="77"/>
      <c r="W1210" s="77"/>
      <c r="X1210" s="77"/>
      <c r="Y1210" s="77"/>
      <c r="Z1210" s="77"/>
      <c r="AA1210" s="77"/>
      <c r="AB1210" s="77"/>
      <c r="AC1210" s="77"/>
      <c r="AD1210" s="77"/>
    </row>
    <row r="1211" spans="22:30" x14ac:dyDescent="0.35">
      <c r="V1211" s="77"/>
      <c r="W1211" s="77"/>
      <c r="X1211" s="77"/>
      <c r="Y1211" s="77"/>
      <c r="Z1211" s="77"/>
      <c r="AA1211" s="77"/>
      <c r="AB1211" s="77"/>
      <c r="AC1211" s="77"/>
      <c r="AD1211" s="77"/>
    </row>
    <row r="1212" spans="22:30" x14ac:dyDescent="0.35">
      <c r="V1212" s="77"/>
      <c r="W1212" s="77"/>
      <c r="X1212" s="77"/>
      <c r="Y1212" s="77"/>
      <c r="Z1212" s="77"/>
      <c r="AA1212" s="77"/>
      <c r="AB1212" s="77"/>
      <c r="AC1212" s="77"/>
      <c r="AD1212" s="77"/>
    </row>
    <row r="1213" spans="22:30" x14ac:dyDescent="0.35">
      <c r="V1213" s="77"/>
      <c r="W1213" s="77"/>
      <c r="X1213" s="77"/>
      <c r="Y1213" s="77"/>
      <c r="Z1213" s="77"/>
      <c r="AA1213" s="77"/>
      <c r="AB1213" s="77"/>
      <c r="AC1213" s="77"/>
      <c r="AD1213" s="77"/>
    </row>
    <row r="1214" spans="22:30" x14ac:dyDescent="0.35">
      <c r="V1214" s="77"/>
      <c r="W1214" s="77"/>
      <c r="X1214" s="77"/>
      <c r="Y1214" s="77"/>
      <c r="Z1214" s="77"/>
      <c r="AA1214" s="77"/>
      <c r="AB1214" s="77"/>
      <c r="AC1214" s="77"/>
      <c r="AD1214" s="77"/>
    </row>
    <row r="1215" spans="22:30" x14ac:dyDescent="0.35">
      <c r="V1215" s="77"/>
      <c r="W1215" s="77"/>
      <c r="X1215" s="77"/>
      <c r="Y1215" s="77"/>
      <c r="Z1215" s="77"/>
      <c r="AA1215" s="77"/>
      <c r="AB1215" s="77"/>
      <c r="AC1215" s="77"/>
      <c r="AD1215" s="77"/>
    </row>
    <row r="1216" spans="22:30" x14ac:dyDescent="0.35">
      <c r="V1216" s="77"/>
      <c r="W1216" s="77"/>
      <c r="X1216" s="77"/>
      <c r="Y1216" s="77"/>
      <c r="Z1216" s="77"/>
      <c r="AA1216" s="77"/>
      <c r="AB1216" s="77"/>
      <c r="AC1216" s="77"/>
      <c r="AD1216" s="77"/>
    </row>
    <row r="1217" spans="22:30" x14ac:dyDescent="0.35">
      <c r="V1217" s="77"/>
      <c r="W1217" s="77"/>
      <c r="X1217" s="77"/>
      <c r="Y1217" s="77"/>
      <c r="Z1217" s="77"/>
      <c r="AA1217" s="77"/>
      <c r="AB1217" s="77"/>
      <c r="AC1217" s="77"/>
      <c r="AD1217" s="77"/>
    </row>
    <row r="1218" spans="22:30" x14ac:dyDescent="0.35">
      <c r="V1218" s="77"/>
      <c r="W1218" s="77"/>
      <c r="X1218" s="77"/>
      <c r="Y1218" s="77"/>
      <c r="Z1218" s="77"/>
      <c r="AA1218" s="77"/>
      <c r="AB1218" s="77"/>
      <c r="AC1218" s="77"/>
      <c r="AD1218" s="77"/>
    </row>
    <row r="1219" spans="22:30" x14ac:dyDescent="0.35">
      <c r="V1219" s="77"/>
      <c r="W1219" s="77"/>
      <c r="X1219" s="77"/>
      <c r="Y1219" s="77"/>
      <c r="Z1219" s="77"/>
      <c r="AA1219" s="77"/>
      <c r="AB1219" s="77"/>
      <c r="AC1219" s="77"/>
      <c r="AD1219" s="77"/>
    </row>
    <row r="1220" spans="22:30" x14ac:dyDescent="0.35">
      <c r="V1220" s="77"/>
      <c r="W1220" s="77"/>
      <c r="X1220" s="77"/>
      <c r="Y1220" s="77"/>
      <c r="Z1220" s="77"/>
      <c r="AA1220" s="77"/>
      <c r="AB1220" s="77"/>
      <c r="AC1220" s="77"/>
      <c r="AD1220" s="77"/>
    </row>
    <row r="1221" spans="22:30" x14ac:dyDescent="0.35">
      <c r="V1221" s="77"/>
      <c r="W1221" s="77"/>
      <c r="X1221" s="77"/>
      <c r="Y1221" s="77"/>
      <c r="Z1221" s="77"/>
      <c r="AA1221" s="77"/>
      <c r="AB1221" s="77"/>
      <c r="AC1221" s="77"/>
      <c r="AD1221" s="77"/>
    </row>
    <row r="1222" spans="22:30" x14ac:dyDescent="0.35">
      <c r="V1222" s="77"/>
      <c r="W1222" s="77"/>
      <c r="X1222" s="77"/>
      <c r="Y1222" s="77"/>
      <c r="Z1222" s="77"/>
      <c r="AA1222" s="77"/>
      <c r="AB1222" s="77"/>
      <c r="AC1222" s="77"/>
      <c r="AD1222" s="77"/>
    </row>
    <row r="1223" spans="22:30" x14ac:dyDescent="0.35">
      <c r="V1223" s="77"/>
      <c r="W1223" s="77"/>
      <c r="X1223" s="77"/>
      <c r="Y1223" s="77"/>
      <c r="Z1223" s="77"/>
      <c r="AA1223" s="77"/>
      <c r="AB1223" s="77"/>
      <c r="AC1223" s="77"/>
      <c r="AD1223" s="77"/>
    </row>
    <row r="1224" spans="22:30" x14ac:dyDescent="0.35">
      <c r="V1224" s="77"/>
      <c r="W1224" s="77"/>
      <c r="X1224" s="77"/>
      <c r="Y1224" s="77"/>
      <c r="Z1224" s="77"/>
      <c r="AA1224" s="77"/>
      <c r="AB1224" s="77"/>
      <c r="AC1224" s="77"/>
      <c r="AD1224" s="77"/>
    </row>
    <row r="1225" spans="22:30" x14ac:dyDescent="0.35">
      <c r="V1225" s="77"/>
      <c r="W1225" s="77"/>
      <c r="X1225" s="77"/>
      <c r="Y1225" s="77"/>
      <c r="Z1225" s="77"/>
      <c r="AA1225" s="77"/>
      <c r="AB1225" s="77"/>
      <c r="AC1225" s="77"/>
      <c r="AD1225" s="77"/>
    </row>
    <row r="1226" spans="22:30" x14ac:dyDescent="0.35">
      <c r="V1226" s="77"/>
      <c r="W1226" s="77"/>
      <c r="X1226" s="77"/>
      <c r="Y1226" s="77"/>
      <c r="Z1226" s="77"/>
      <c r="AA1226" s="77"/>
      <c r="AB1226" s="77"/>
      <c r="AC1226" s="77"/>
      <c r="AD1226" s="77"/>
    </row>
    <row r="1227" spans="22:30" x14ac:dyDescent="0.35">
      <c r="V1227" s="77"/>
      <c r="W1227" s="77"/>
      <c r="X1227" s="77"/>
      <c r="Y1227" s="77"/>
      <c r="Z1227" s="77"/>
      <c r="AA1227" s="77"/>
      <c r="AB1227" s="77"/>
      <c r="AC1227" s="77"/>
      <c r="AD1227" s="77"/>
    </row>
    <row r="1228" spans="22:30" x14ac:dyDescent="0.35">
      <c r="V1228" s="77"/>
      <c r="W1228" s="77"/>
      <c r="X1228" s="77"/>
      <c r="Y1228" s="77"/>
      <c r="Z1228" s="77"/>
      <c r="AA1228" s="77"/>
      <c r="AB1228" s="77"/>
      <c r="AC1228" s="77"/>
      <c r="AD1228" s="77"/>
    </row>
    <row r="1229" spans="22:30" x14ac:dyDescent="0.35">
      <c r="V1229" s="77"/>
      <c r="W1229" s="77"/>
      <c r="X1229" s="77"/>
      <c r="Y1229" s="77"/>
      <c r="Z1229" s="77"/>
      <c r="AA1229" s="77"/>
      <c r="AB1229" s="77"/>
      <c r="AC1229" s="77"/>
      <c r="AD1229" s="77"/>
    </row>
    <row r="1230" spans="22:30" x14ac:dyDescent="0.35">
      <c r="V1230" s="77"/>
      <c r="W1230" s="77"/>
      <c r="X1230" s="77"/>
      <c r="Y1230" s="77"/>
      <c r="Z1230" s="77"/>
      <c r="AA1230" s="77"/>
      <c r="AB1230" s="77"/>
      <c r="AC1230" s="77"/>
      <c r="AD1230" s="77"/>
    </row>
    <row r="1231" spans="22:30" x14ac:dyDescent="0.35">
      <c r="V1231" s="77"/>
      <c r="W1231" s="77"/>
      <c r="X1231" s="77"/>
      <c r="Y1231" s="77"/>
      <c r="Z1231" s="77"/>
      <c r="AA1231" s="77"/>
      <c r="AB1231" s="77"/>
      <c r="AC1231" s="77"/>
      <c r="AD1231" s="77"/>
    </row>
    <row r="1232" spans="22:30" x14ac:dyDescent="0.35">
      <c r="V1232" s="77"/>
      <c r="W1232" s="77"/>
      <c r="X1232" s="77"/>
      <c r="Y1232" s="77"/>
      <c r="Z1232" s="77"/>
      <c r="AA1232" s="77"/>
      <c r="AB1232" s="77"/>
      <c r="AC1232" s="77"/>
      <c r="AD1232" s="77"/>
    </row>
    <row r="1233" spans="22:30" x14ac:dyDescent="0.35">
      <c r="V1233" s="77"/>
      <c r="W1233" s="77"/>
      <c r="X1233" s="77"/>
      <c r="Y1233" s="77"/>
      <c r="Z1233" s="77"/>
      <c r="AA1233" s="77"/>
      <c r="AB1233" s="77"/>
      <c r="AC1233" s="77"/>
      <c r="AD1233" s="77"/>
    </row>
    <row r="1234" spans="22:30" x14ac:dyDescent="0.35">
      <c r="V1234" s="77"/>
      <c r="W1234" s="77"/>
      <c r="X1234" s="77"/>
      <c r="Y1234" s="77"/>
      <c r="Z1234" s="77"/>
      <c r="AA1234" s="77"/>
      <c r="AB1234" s="77"/>
      <c r="AC1234" s="77"/>
      <c r="AD1234" s="77"/>
    </row>
    <row r="1235" spans="22:30" x14ac:dyDescent="0.35">
      <c r="V1235" s="77"/>
      <c r="W1235" s="77"/>
      <c r="X1235" s="77"/>
      <c r="Y1235" s="77"/>
      <c r="Z1235" s="77"/>
      <c r="AA1235" s="77"/>
      <c r="AB1235" s="77"/>
      <c r="AC1235" s="77"/>
      <c r="AD1235" s="77"/>
    </row>
    <row r="1236" spans="22:30" x14ac:dyDescent="0.35">
      <c r="V1236" s="77"/>
      <c r="W1236" s="77"/>
      <c r="X1236" s="77"/>
      <c r="Y1236" s="77"/>
      <c r="Z1236" s="77"/>
      <c r="AA1236" s="77"/>
      <c r="AB1236" s="77"/>
      <c r="AC1236" s="77"/>
      <c r="AD1236" s="77"/>
    </row>
    <row r="1237" spans="22:30" x14ac:dyDescent="0.35">
      <c r="V1237" s="77"/>
      <c r="W1237" s="77"/>
      <c r="X1237" s="77"/>
      <c r="Y1237" s="77"/>
      <c r="Z1237" s="77"/>
      <c r="AA1237" s="77"/>
      <c r="AB1237" s="77"/>
      <c r="AC1237" s="77"/>
      <c r="AD1237" s="77"/>
    </row>
    <row r="1238" spans="22:30" x14ac:dyDescent="0.35">
      <c r="V1238" s="77"/>
      <c r="W1238" s="77"/>
      <c r="X1238" s="77"/>
      <c r="Y1238" s="77"/>
      <c r="Z1238" s="77"/>
      <c r="AA1238" s="77"/>
      <c r="AB1238" s="77"/>
      <c r="AC1238" s="77"/>
      <c r="AD1238" s="77"/>
    </row>
    <row r="1239" spans="22:30" x14ac:dyDescent="0.35">
      <c r="V1239" s="77"/>
      <c r="W1239" s="77"/>
      <c r="X1239" s="77"/>
      <c r="Y1239" s="77"/>
      <c r="Z1239" s="77"/>
      <c r="AA1239" s="77"/>
      <c r="AB1239" s="77"/>
      <c r="AC1239" s="77"/>
      <c r="AD1239" s="77"/>
    </row>
    <row r="1240" spans="22:30" x14ac:dyDescent="0.35">
      <c r="V1240" s="77"/>
      <c r="W1240" s="77"/>
      <c r="X1240" s="77"/>
      <c r="Y1240" s="77"/>
      <c r="Z1240" s="77"/>
      <c r="AA1240" s="77"/>
      <c r="AB1240" s="77"/>
      <c r="AC1240" s="77"/>
      <c r="AD1240" s="77"/>
    </row>
    <row r="1241" spans="22:30" x14ac:dyDescent="0.35">
      <c r="V1241" s="77"/>
      <c r="W1241" s="77"/>
      <c r="X1241" s="77"/>
      <c r="Y1241" s="77"/>
      <c r="Z1241" s="77"/>
      <c r="AA1241" s="77"/>
      <c r="AB1241" s="77"/>
      <c r="AC1241" s="77"/>
      <c r="AD1241" s="77"/>
    </row>
    <row r="1242" spans="22:30" x14ac:dyDescent="0.35">
      <c r="V1242" s="77"/>
      <c r="W1242" s="77"/>
      <c r="X1242" s="77"/>
      <c r="Y1242" s="77"/>
      <c r="Z1242" s="77"/>
      <c r="AA1242" s="77"/>
      <c r="AB1242" s="77"/>
      <c r="AC1242" s="77"/>
      <c r="AD1242" s="77"/>
    </row>
    <row r="1243" spans="22:30" x14ac:dyDescent="0.35">
      <c r="V1243" s="77"/>
      <c r="W1243" s="77"/>
      <c r="X1243" s="77"/>
      <c r="Y1243" s="77"/>
      <c r="Z1243" s="77"/>
      <c r="AA1243" s="77"/>
      <c r="AB1243" s="77"/>
      <c r="AC1243" s="77"/>
      <c r="AD1243" s="77"/>
    </row>
    <row r="1244" spans="22:30" x14ac:dyDescent="0.35">
      <c r="V1244" s="77"/>
      <c r="W1244" s="77"/>
      <c r="X1244" s="77"/>
      <c r="Y1244" s="77"/>
      <c r="Z1244" s="77"/>
      <c r="AA1244" s="77"/>
      <c r="AB1244" s="77"/>
      <c r="AC1244" s="77"/>
      <c r="AD1244" s="77"/>
    </row>
    <row r="1245" spans="22:30" x14ac:dyDescent="0.35">
      <c r="V1245" s="77"/>
      <c r="W1245" s="77"/>
      <c r="X1245" s="77"/>
      <c r="Y1245" s="77"/>
      <c r="Z1245" s="77"/>
      <c r="AA1245" s="77"/>
      <c r="AB1245" s="77"/>
      <c r="AC1245" s="77"/>
      <c r="AD1245" s="77"/>
    </row>
    <row r="1246" spans="22:30" x14ac:dyDescent="0.35">
      <c r="V1246" s="77"/>
      <c r="W1246" s="77"/>
      <c r="X1246" s="77"/>
      <c r="Y1246" s="77"/>
      <c r="Z1246" s="77"/>
      <c r="AA1246" s="77"/>
      <c r="AB1246" s="77"/>
      <c r="AC1246" s="77"/>
      <c r="AD1246" s="77"/>
    </row>
    <row r="1247" spans="22:30" x14ac:dyDescent="0.35">
      <c r="V1247" s="77"/>
      <c r="W1247" s="77"/>
      <c r="X1247" s="77"/>
      <c r="Y1247" s="77"/>
      <c r="Z1247" s="77"/>
      <c r="AA1247" s="77"/>
      <c r="AB1247" s="77"/>
      <c r="AC1247" s="77"/>
      <c r="AD1247" s="77"/>
    </row>
    <row r="1248" spans="22:30" x14ac:dyDescent="0.35">
      <c r="V1248" s="77"/>
      <c r="W1248" s="77"/>
      <c r="X1248" s="77"/>
      <c r="Y1248" s="77"/>
      <c r="Z1248" s="77"/>
      <c r="AA1248" s="77"/>
      <c r="AB1248" s="77"/>
      <c r="AC1248" s="77"/>
      <c r="AD1248" s="77"/>
    </row>
    <row r="1249" spans="22:30" x14ac:dyDescent="0.35">
      <c r="V1249" s="77"/>
      <c r="W1249" s="77"/>
      <c r="X1249" s="77"/>
      <c r="Y1249" s="77"/>
      <c r="Z1249" s="77"/>
      <c r="AA1249" s="77"/>
      <c r="AB1249" s="77"/>
      <c r="AC1249" s="77"/>
      <c r="AD1249" s="77"/>
    </row>
    <row r="1250" spans="22:30" x14ac:dyDescent="0.35">
      <c r="V1250" s="77"/>
      <c r="W1250" s="77"/>
      <c r="X1250" s="77"/>
      <c r="Y1250" s="77"/>
      <c r="Z1250" s="77"/>
      <c r="AA1250" s="77"/>
      <c r="AB1250" s="77"/>
      <c r="AC1250" s="77"/>
      <c r="AD1250" s="77"/>
    </row>
    <row r="1251" spans="22:30" x14ac:dyDescent="0.35">
      <c r="V1251" s="77"/>
      <c r="W1251" s="77"/>
      <c r="X1251" s="77"/>
      <c r="Y1251" s="77"/>
      <c r="Z1251" s="77"/>
      <c r="AA1251" s="77"/>
      <c r="AB1251" s="77"/>
      <c r="AC1251" s="77"/>
      <c r="AD1251" s="77"/>
    </row>
    <row r="1252" spans="22:30" x14ac:dyDescent="0.35">
      <c r="V1252" s="77"/>
      <c r="W1252" s="77"/>
      <c r="X1252" s="77"/>
      <c r="Y1252" s="77"/>
      <c r="Z1252" s="77"/>
      <c r="AA1252" s="77"/>
      <c r="AB1252" s="77"/>
      <c r="AC1252" s="77"/>
      <c r="AD1252" s="77"/>
    </row>
    <row r="1253" spans="22:30" x14ac:dyDescent="0.35">
      <c r="V1253" s="77"/>
      <c r="W1253" s="77"/>
      <c r="X1253" s="77"/>
      <c r="Y1253" s="77"/>
      <c r="Z1253" s="77"/>
      <c r="AA1253" s="77"/>
      <c r="AB1253" s="77"/>
      <c r="AC1253" s="77"/>
      <c r="AD1253" s="77"/>
    </row>
    <row r="1254" spans="22:30" x14ac:dyDescent="0.35">
      <c r="V1254" s="77"/>
      <c r="W1254" s="77"/>
      <c r="X1254" s="77"/>
      <c r="Y1254" s="77"/>
      <c r="Z1254" s="77"/>
      <c r="AA1254" s="77"/>
      <c r="AB1254" s="77"/>
      <c r="AC1254" s="77"/>
      <c r="AD1254" s="77"/>
    </row>
    <row r="1255" spans="22:30" x14ac:dyDescent="0.35">
      <c r="V1255" s="77"/>
      <c r="W1255" s="77"/>
      <c r="X1255" s="77"/>
      <c r="Y1255" s="77"/>
      <c r="Z1255" s="77"/>
      <c r="AA1255" s="77"/>
      <c r="AB1255" s="77"/>
      <c r="AC1255" s="77"/>
      <c r="AD1255" s="77"/>
    </row>
    <row r="1256" spans="22:30" x14ac:dyDescent="0.35">
      <c r="V1256" s="77"/>
      <c r="W1256" s="77"/>
      <c r="X1256" s="77"/>
      <c r="Y1256" s="77"/>
      <c r="Z1256" s="77"/>
      <c r="AA1256" s="77"/>
      <c r="AB1256" s="77"/>
      <c r="AC1256" s="77"/>
      <c r="AD1256" s="77"/>
    </row>
    <row r="1257" spans="22:30" x14ac:dyDescent="0.35">
      <c r="V1257" s="77"/>
      <c r="W1257" s="77"/>
      <c r="X1257" s="77"/>
      <c r="Y1257" s="77"/>
      <c r="Z1257" s="77"/>
      <c r="AA1257" s="77"/>
      <c r="AB1257" s="77"/>
      <c r="AC1257" s="77"/>
      <c r="AD1257" s="77"/>
    </row>
    <row r="1258" spans="22:30" x14ac:dyDescent="0.35">
      <c r="V1258" s="77"/>
      <c r="W1258" s="77"/>
      <c r="X1258" s="77"/>
      <c r="Y1258" s="77"/>
      <c r="Z1258" s="77"/>
      <c r="AA1258" s="77"/>
      <c r="AB1258" s="77"/>
      <c r="AC1258" s="77"/>
      <c r="AD1258" s="77"/>
    </row>
    <row r="1259" spans="22:30" x14ac:dyDescent="0.35">
      <c r="V1259" s="77"/>
      <c r="W1259" s="77"/>
      <c r="X1259" s="77"/>
      <c r="Y1259" s="77"/>
      <c r="Z1259" s="77"/>
      <c r="AA1259" s="77"/>
      <c r="AB1259" s="77"/>
      <c r="AC1259" s="77"/>
      <c r="AD1259" s="77"/>
    </row>
    <row r="1260" spans="22:30" x14ac:dyDescent="0.35">
      <c r="V1260" s="77"/>
      <c r="W1260" s="77"/>
      <c r="X1260" s="77"/>
      <c r="Y1260" s="77"/>
      <c r="Z1260" s="77"/>
      <c r="AA1260" s="77"/>
      <c r="AB1260" s="77"/>
      <c r="AC1260" s="77"/>
      <c r="AD1260" s="77"/>
    </row>
    <row r="1261" spans="22:30" x14ac:dyDescent="0.35">
      <c r="V1261" s="77"/>
      <c r="W1261" s="77"/>
      <c r="X1261" s="77"/>
      <c r="Y1261" s="77"/>
      <c r="Z1261" s="77"/>
      <c r="AA1261" s="77"/>
      <c r="AB1261" s="77"/>
      <c r="AC1261" s="77"/>
      <c r="AD1261" s="77"/>
    </row>
    <row r="1262" spans="22:30" x14ac:dyDescent="0.35">
      <c r="V1262" s="77"/>
      <c r="W1262" s="77"/>
      <c r="X1262" s="77"/>
      <c r="Y1262" s="77"/>
      <c r="Z1262" s="77"/>
      <c r="AA1262" s="77"/>
      <c r="AB1262" s="77"/>
      <c r="AC1262" s="77"/>
      <c r="AD1262" s="77"/>
    </row>
    <row r="1263" spans="22:30" x14ac:dyDescent="0.35">
      <c r="V1263" s="77"/>
      <c r="W1263" s="77"/>
      <c r="X1263" s="77"/>
      <c r="Y1263" s="77"/>
      <c r="Z1263" s="77"/>
      <c r="AA1263" s="77"/>
      <c r="AB1263" s="77"/>
      <c r="AC1263" s="77"/>
      <c r="AD1263" s="77"/>
    </row>
    <row r="1264" spans="22:30" x14ac:dyDescent="0.35">
      <c r="V1264" s="77"/>
      <c r="W1264" s="77"/>
      <c r="X1264" s="77"/>
      <c r="Y1264" s="77"/>
      <c r="Z1264" s="77"/>
      <c r="AA1264" s="77"/>
      <c r="AB1264" s="77"/>
      <c r="AC1264" s="77"/>
      <c r="AD1264" s="77"/>
    </row>
    <row r="1265" spans="22:30" x14ac:dyDescent="0.35">
      <c r="V1265" s="77"/>
      <c r="W1265" s="77"/>
      <c r="X1265" s="77"/>
      <c r="Y1265" s="77"/>
      <c r="Z1265" s="77"/>
      <c r="AA1265" s="77"/>
      <c r="AB1265" s="77"/>
      <c r="AC1265" s="77"/>
      <c r="AD1265" s="77"/>
    </row>
    <row r="1266" spans="22:30" x14ac:dyDescent="0.35">
      <c r="V1266" s="77"/>
      <c r="W1266" s="77"/>
      <c r="X1266" s="77"/>
      <c r="Y1266" s="77"/>
      <c r="Z1266" s="77"/>
      <c r="AA1266" s="77"/>
      <c r="AB1266" s="77"/>
      <c r="AC1266" s="77"/>
      <c r="AD1266" s="77"/>
    </row>
    <row r="1267" spans="22:30" x14ac:dyDescent="0.35">
      <c r="V1267" s="77"/>
      <c r="W1267" s="77"/>
      <c r="X1267" s="77"/>
      <c r="Y1267" s="77"/>
      <c r="Z1267" s="77"/>
      <c r="AA1267" s="77"/>
      <c r="AB1267" s="77"/>
      <c r="AC1267" s="77"/>
      <c r="AD1267" s="77"/>
    </row>
    <row r="1268" spans="22:30" x14ac:dyDescent="0.35">
      <c r="V1268" s="77"/>
      <c r="W1268" s="77"/>
      <c r="X1268" s="77"/>
      <c r="Y1268" s="77"/>
      <c r="Z1268" s="77"/>
      <c r="AA1268" s="77"/>
      <c r="AB1268" s="77"/>
      <c r="AC1268" s="77"/>
      <c r="AD1268" s="77"/>
    </row>
    <row r="1269" spans="22:30" x14ac:dyDescent="0.35">
      <c r="V1269" s="77"/>
      <c r="W1269" s="77"/>
      <c r="X1269" s="77"/>
      <c r="Y1269" s="77"/>
      <c r="Z1269" s="77"/>
      <c r="AA1269" s="77"/>
      <c r="AB1269" s="77"/>
      <c r="AC1269" s="77"/>
      <c r="AD1269" s="77"/>
    </row>
    <row r="1270" spans="22:30" x14ac:dyDescent="0.35">
      <c r="V1270" s="77"/>
      <c r="W1270" s="77"/>
      <c r="X1270" s="77"/>
      <c r="Y1270" s="77"/>
      <c r="Z1270" s="77"/>
      <c r="AA1270" s="77"/>
      <c r="AB1270" s="77"/>
      <c r="AC1270" s="77"/>
      <c r="AD1270" s="77"/>
    </row>
    <row r="1271" spans="22:30" x14ac:dyDescent="0.35">
      <c r="V1271" s="77"/>
      <c r="W1271" s="77"/>
      <c r="X1271" s="77"/>
      <c r="Y1271" s="77"/>
      <c r="Z1271" s="77"/>
      <c r="AA1271" s="77"/>
      <c r="AB1271" s="77"/>
      <c r="AC1271" s="77"/>
      <c r="AD1271" s="77"/>
    </row>
    <row r="1272" spans="22:30" x14ac:dyDescent="0.35">
      <c r="V1272" s="77"/>
      <c r="W1272" s="77"/>
      <c r="X1272" s="77"/>
      <c r="Y1272" s="77"/>
      <c r="Z1272" s="77"/>
      <c r="AA1272" s="77"/>
      <c r="AB1272" s="77"/>
      <c r="AC1272" s="77"/>
      <c r="AD1272" s="77"/>
    </row>
    <row r="1273" spans="22:30" x14ac:dyDescent="0.35">
      <c r="V1273" s="77"/>
      <c r="W1273" s="77"/>
      <c r="X1273" s="77"/>
      <c r="Y1273" s="77"/>
      <c r="Z1273" s="77"/>
      <c r="AA1273" s="77"/>
      <c r="AB1273" s="77"/>
      <c r="AC1273" s="77"/>
      <c r="AD1273" s="77"/>
    </row>
    <row r="1274" spans="22:30" x14ac:dyDescent="0.35">
      <c r="V1274" s="77"/>
      <c r="W1274" s="77"/>
      <c r="X1274" s="77"/>
      <c r="Y1274" s="77"/>
      <c r="Z1274" s="77"/>
      <c r="AA1274" s="77"/>
      <c r="AB1274" s="77"/>
      <c r="AC1274" s="77"/>
      <c r="AD1274" s="77"/>
    </row>
    <row r="1275" spans="22:30" x14ac:dyDescent="0.35">
      <c r="V1275" s="77"/>
      <c r="W1275" s="77"/>
      <c r="X1275" s="77"/>
      <c r="Y1275" s="77"/>
      <c r="Z1275" s="77"/>
      <c r="AA1275" s="77"/>
      <c r="AB1275" s="77"/>
      <c r="AC1275" s="77"/>
      <c r="AD1275" s="78"/>
    </row>
    <row r="1276" spans="22:30" x14ac:dyDescent="0.35">
      <c r="V1276" s="77"/>
      <c r="W1276" s="77"/>
      <c r="X1276" s="77"/>
      <c r="Y1276" s="77"/>
      <c r="Z1276" s="77"/>
      <c r="AA1276" s="77"/>
      <c r="AB1276" s="77"/>
      <c r="AC1276" s="77"/>
      <c r="AD1276" s="77"/>
    </row>
    <row r="1277" spans="22:30" x14ac:dyDescent="0.35">
      <c r="V1277" s="77"/>
      <c r="W1277" s="77"/>
      <c r="X1277" s="77"/>
      <c r="Y1277" s="77"/>
      <c r="Z1277" s="77"/>
      <c r="AA1277" s="77"/>
      <c r="AB1277" s="77"/>
      <c r="AC1277" s="77"/>
      <c r="AD1277" s="77"/>
    </row>
    <row r="1278" spans="22:30" x14ac:dyDescent="0.35">
      <c r="V1278" s="77"/>
      <c r="W1278" s="77"/>
      <c r="X1278" s="77"/>
      <c r="Y1278" s="77"/>
      <c r="Z1278" s="77"/>
      <c r="AA1278" s="77"/>
      <c r="AB1278" s="77"/>
      <c r="AC1278" s="77"/>
      <c r="AD1278" s="77"/>
    </row>
    <row r="1279" spans="22:30" x14ac:dyDescent="0.35">
      <c r="V1279" s="77"/>
      <c r="W1279" s="77"/>
      <c r="X1279" s="77"/>
      <c r="Y1279" s="77"/>
      <c r="Z1279" s="77"/>
      <c r="AA1279" s="77"/>
      <c r="AB1279" s="77"/>
      <c r="AC1279" s="77"/>
      <c r="AD1279" s="77"/>
    </row>
    <row r="1280" spans="22:30" x14ac:dyDescent="0.35">
      <c r="V1280" s="77"/>
      <c r="W1280" s="77"/>
      <c r="X1280" s="77"/>
      <c r="Y1280" s="77"/>
      <c r="Z1280" s="77"/>
      <c r="AA1280" s="77"/>
      <c r="AB1280" s="77"/>
      <c r="AC1280" s="77"/>
      <c r="AD1280" s="77"/>
    </row>
    <row r="1281" spans="22:30" x14ac:dyDescent="0.35">
      <c r="V1281" s="77"/>
      <c r="W1281" s="77"/>
      <c r="X1281" s="77"/>
      <c r="Y1281" s="77"/>
      <c r="Z1281" s="77"/>
      <c r="AA1281" s="77"/>
      <c r="AB1281" s="77"/>
      <c r="AC1281" s="77"/>
      <c r="AD1281" s="77"/>
    </row>
    <row r="1282" spans="22:30" x14ac:dyDescent="0.35">
      <c r="V1282" s="77"/>
      <c r="W1282" s="77"/>
      <c r="X1282" s="77"/>
      <c r="Y1282" s="77"/>
      <c r="Z1282" s="77"/>
      <c r="AA1282" s="77"/>
      <c r="AB1282" s="77"/>
      <c r="AC1282" s="77"/>
      <c r="AD1282" s="77"/>
    </row>
    <row r="1283" spans="22:30" x14ac:dyDescent="0.35">
      <c r="V1283" s="77"/>
      <c r="W1283" s="77"/>
      <c r="X1283" s="77"/>
      <c r="Y1283" s="77"/>
      <c r="Z1283" s="77"/>
      <c r="AA1283" s="77"/>
      <c r="AB1283" s="77"/>
      <c r="AC1283" s="77"/>
      <c r="AD1283" s="77"/>
    </row>
    <row r="1284" spans="22:30" x14ac:dyDescent="0.35">
      <c r="V1284" s="77"/>
      <c r="W1284" s="77"/>
      <c r="X1284" s="77"/>
      <c r="Y1284" s="77"/>
      <c r="Z1284" s="77"/>
      <c r="AA1284" s="77"/>
      <c r="AB1284" s="77"/>
      <c r="AC1284" s="77"/>
      <c r="AD1284" s="77"/>
    </row>
    <row r="1285" spans="22:30" x14ac:dyDescent="0.35">
      <c r="V1285" s="77"/>
      <c r="W1285" s="77"/>
      <c r="X1285" s="77"/>
      <c r="Y1285" s="77"/>
      <c r="Z1285" s="77"/>
      <c r="AA1285" s="77"/>
      <c r="AB1285" s="77"/>
      <c r="AC1285" s="77"/>
      <c r="AD1285" s="77"/>
    </row>
    <row r="1286" spans="22:30" x14ac:dyDescent="0.35">
      <c r="V1286" s="77"/>
      <c r="W1286" s="77"/>
      <c r="X1286" s="77"/>
      <c r="Y1286" s="77"/>
      <c r="Z1286" s="77"/>
      <c r="AA1286" s="77"/>
      <c r="AB1286" s="77"/>
      <c r="AC1286" s="77"/>
      <c r="AD1286" s="77"/>
    </row>
    <row r="1287" spans="22:30" x14ac:dyDescent="0.35">
      <c r="V1287" s="77"/>
      <c r="W1287" s="77"/>
      <c r="X1287" s="77"/>
      <c r="Y1287" s="77"/>
      <c r="Z1287" s="77"/>
      <c r="AA1287" s="77"/>
      <c r="AB1287" s="77"/>
      <c r="AC1287" s="77"/>
      <c r="AD1287" s="77"/>
    </row>
    <row r="1288" spans="22:30" x14ac:dyDescent="0.35">
      <c r="V1288" s="77"/>
      <c r="W1288" s="77"/>
      <c r="X1288" s="77"/>
      <c r="Y1288" s="77"/>
      <c r="Z1288" s="77"/>
      <c r="AA1288" s="77"/>
      <c r="AB1288" s="77"/>
      <c r="AC1288" s="77"/>
      <c r="AD1288" s="77"/>
    </row>
    <row r="1289" spans="22:30" x14ac:dyDescent="0.35">
      <c r="V1289" s="77"/>
      <c r="W1289" s="77"/>
      <c r="X1289" s="77"/>
      <c r="Y1289" s="77"/>
      <c r="Z1289" s="77"/>
      <c r="AA1289" s="77"/>
      <c r="AB1289" s="77"/>
      <c r="AC1289" s="77"/>
      <c r="AD1289" s="77"/>
    </row>
    <row r="1290" spans="22:30" x14ac:dyDescent="0.35">
      <c r="V1290" s="77"/>
      <c r="W1290" s="77"/>
      <c r="X1290" s="77"/>
      <c r="Y1290" s="77"/>
      <c r="Z1290" s="77"/>
      <c r="AA1290" s="77"/>
      <c r="AB1290" s="77"/>
      <c r="AC1290" s="77"/>
      <c r="AD1290" s="77"/>
    </row>
    <row r="1291" spans="22:30" x14ac:dyDescent="0.35">
      <c r="V1291" s="77"/>
      <c r="W1291" s="77"/>
      <c r="X1291" s="77"/>
      <c r="Y1291" s="77"/>
      <c r="Z1291" s="77"/>
      <c r="AA1291" s="77"/>
      <c r="AB1291" s="77"/>
      <c r="AC1291" s="77"/>
      <c r="AD1291" s="77"/>
    </row>
    <row r="1292" spans="22:30" x14ac:dyDescent="0.35">
      <c r="V1292" s="77"/>
      <c r="W1292" s="77"/>
      <c r="X1292" s="77"/>
      <c r="Y1292" s="77"/>
      <c r="Z1292" s="77"/>
      <c r="AA1292" s="77"/>
      <c r="AB1292" s="77"/>
      <c r="AC1292" s="77"/>
      <c r="AD1292" s="77"/>
    </row>
    <row r="1293" spans="22:30" x14ac:dyDescent="0.35">
      <c r="V1293" s="77"/>
      <c r="W1293" s="77"/>
      <c r="X1293" s="77"/>
      <c r="Y1293" s="77"/>
      <c r="Z1293" s="77"/>
      <c r="AA1293" s="77"/>
      <c r="AB1293" s="77"/>
      <c r="AC1293" s="77"/>
      <c r="AD1293" s="77"/>
    </row>
    <row r="1294" spans="22:30" x14ac:dyDescent="0.35">
      <c r="V1294" s="77"/>
      <c r="W1294" s="77"/>
      <c r="X1294" s="77"/>
      <c r="Y1294" s="77"/>
      <c r="Z1294" s="77"/>
      <c r="AA1294" s="77"/>
      <c r="AB1294" s="77"/>
      <c r="AC1294" s="77"/>
      <c r="AD1294" s="77"/>
    </row>
    <row r="1295" spans="22:30" x14ac:dyDescent="0.35">
      <c r="V1295" s="77"/>
      <c r="W1295" s="77"/>
      <c r="X1295" s="77"/>
      <c r="Y1295" s="77"/>
      <c r="Z1295" s="77"/>
      <c r="AA1295" s="77"/>
      <c r="AB1295" s="77"/>
      <c r="AC1295" s="77"/>
      <c r="AD1295" s="77"/>
    </row>
    <row r="1296" spans="22:30" x14ac:dyDescent="0.35">
      <c r="V1296" s="77"/>
      <c r="W1296" s="77"/>
      <c r="X1296" s="77"/>
      <c r="Y1296" s="77"/>
      <c r="Z1296" s="77"/>
      <c r="AA1296" s="77"/>
      <c r="AB1296" s="77"/>
      <c r="AC1296" s="77"/>
      <c r="AD1296" s="77"/>
    </row>
    <row r="1297" spans="22:30" x14ac:dyDescent="0.35">
      <c r="V1297" s="77"/>
      <c r="W1297" s="77"/>
      <c r="X1297" s="77"/>
      <c r="Y1297" s="77"/>
      <c r="Z1297" s="77"/>
      <c r="AA1297" s="77"/>
      <c r="AB1297" s="77"/>
      <c r="AC1297" s="77"/>
      <c r="AD1297" s="77"/>
    </row>
    <row r="1298" spans="22:30" x14ac:dyDescent="0.35">
      <c r="V1298" s="77"/>
      <c r="W1298" s="77"/>
      <c r="X1298" s="77"/>
      <c r="Y1298" s="77"/>
      <c r="Z1298" s="77"/>
      <c r="AA1298" s="77"/>
      <c r="AB1298" s="77"/>
      <c r="AC1298" s="77"/>
      <c r="AD1298" s="77"/>
    </row>
    <row r="1299" spans="22:30" x14ac:dyDescent="0.35">
      <c r="V1299" s="77"/>
      <c r="W1299" s="77"/>
      <c r="X1299" s="77"/>
      <c r="Y1299" s="77"/>
      <c r="Z1299" s="77"/>
      <c r="AA1299" s="77"/>
      <c r="AB1299" s="77"/>
      <c r="AC1299" s="77"/>
      <c r="AD1299" s="77"/>
    </row>
    <row r="1300" spans="22:30" x14ac:dyDescent="0.35">
      <c r="V1300" s="77"/>
      <c r="W1300" s="77"/>
      <c r="X1300" s="77"/>
      <c r="Y1300" s="77"/>
      <c r="Z1300" s="77"/>
      <c r="AA1300" s="77"/>
      <c r="AB1300" s="77"/>
      <c r="AC1300" s="77"/>
      <c r="AD1300" s="77"/>
    </row>
    <row r="1301" spans="22:30" x14ac:dyDescent="0.35">
      <c r="V1301" s="77"/>
      <c r="W1301" s="77"/>
      <c r="X1301" s="77"/>
      <c r="Y1301" s="77"/>
      <c r="Z1301" s="77"/>
      <c r="AA1301" s="77"/>
      <c r="AB1301" s="77"/>
      <c r="AC1301" s="77"/>
      <c r="AD1301" s="77"/>
    </row>
    <row r="1302" spans="22:30" x14ac:dyDescent="0.35">
      <c r="V1302" s="77"/>
      <c r="W1302" s="77"/>
      <c r="X1302" s="77"/>
      <c r="Y1302" s="77"/>
      <c r="Z1302" s="77"/>
      <c r="AA1302" s="77"/>
      <c r="AB1302" s="77"/>
      <c r="AC1302" s="77"/>
      <c r="AD1302" s="77"/>
    </row>
    <row r="1303" spans="22:30" x14ac:dyDescent="0.35">
      <c r="V1303" s="77"/>
      <c r="W1303" s="77"/>
      <c r="X1303" s="77"/>
      <c r="Y1303" s="77"/>
      <c r="Z1303" s="77"/>
      <c r="AA1303" s="77"/>
      <c r="AB1303" s="77"/>
      <c r="AC1303" s="77"/>
      <c r="AD1303" s="77"/>
    </row>
    <row r="1304" spans="22:30" x14ac:dyDescent="0.35">
      <c r="V1304" s="77"/>
      <c r="W1304" s="77"/>
      <c r="X1304" s="77"/>
      <c r="Y1304" s="77"/>
      <c r="Z1304" s="77"/>
      <c r="AA1304" s="77"/>
      <c r="AB1304" s="77"/>
      <c r="AC1304" s="77"/>
      <c r="AD1304" s="77"/>
    </row>
    <row r="1305" spans="22:30" x14ac:dyDescent="0.35">
      <c r="V1305" s="77"/>
      <c r="W1305" s="77"/>
      <c r="X1305" s="77"/>
      <c r="Y1305" s="77"/>
      <c r="Z1305" s="77"/>
      <c r="AA1305" s="77"/>
      <c r="AB1305" s="77"/>
      <c r="AC1305" s="77"/>
      <c r="AD1305" s="77"/>
    </row>
    <row r="1306" spans="22:30" x14ac:dyDescent="0.35">
      <c r="V1306" s="77"/>
      <c r="W1306" s="77"/>
      <c r="X1306" s="77"/>
      <c r="Y1306" s="77"/>
      <c r="Z1306" s="77"/>
      <c r="AA1306" s="77"/>
      <c r="AB1306" s="77"/>
      <c r="AC1306" s="77"/>
      <c r="AD1306" s="77"/>
    </row>
    <row r="1307" spans="22:30" x14ac:dyDescent="0.35">
      <c r="V1307" s="77"/>
      <c r="W1307" s="77"/>
      <c r="X1307" s="77"/>
      <c r="Y1307" s="77"/>
      <c r="Z1307" s="77"/>
      <c r="AA1307" s="77"/>
      <c r="AB1307" s="77"/>
      <c r="AC1307" s="77"/>
      <c r="AD1307" s="77"/>
    </row>
    <row r="1308" spans="22:30" x14ac:dyDescent="0.35">
      <c r="V1308" s="77"/>
      <c r="W1308" s="77"/>
      <c r="X1308" s="77"/>
      <c r="Y1308" s="77"/>
      <c r="Z1308" s="77"/>
      <c r="AA1308" s="77"/>
      <c r="AB1308" s="77"/>
      <c r="AC1308" s="77"/>
      <c r="AD1308" s="77"/>
    </row>
    <row r="1309" spans="22:30" x14ac:dyDescent="0.35">
      <c r="V1309" s="77"/>
      <c r="W1309" s="77"/>
      <c r="X1309" s="77"/>
      <c r="Y1309" s="77"/>
      <c r="Z1309" s="77"/>
      <c r="AA1309" s="77"/>
      <c r="AB1309" s="77"/>
      <c r="AC1309" s="77"/>
      <c r="AD1309" s="77"/>
    </row>
    <row r="1310" spans="22:30" x14ac:dyDescent="0.35">
      <c r="V1310" s="77"/>
      <c r="W1310" s="77"/>
      <c r="X1310" s="77"/>
      <c r="Y1310" s="77"/>
      <c r="Z1310" s="77"/>
      <c r="AA1310" s="77"/>
      <c r="AB1310" s="77"/>
      <c r="AC1310" s="77"/>
      <c r="AD1310" s="77"/>
    </row>
    <row r="1311" spans="22:30" x14ac:dyDescent="0.35">
      <c r="V1311" s="77"/>
      <c r="W1311" s="77"/>
      <c r="X1311" s="77"/>
      <c r="Y1311" s="77"/>
      <c r="Z1311" s="77"/>
      <c r="AA1311" s="77"/>
      <c r="AB1311" s="77"/>
      <c r="AC1311" s="77"/>
      <c r="AD1311" s="77"/>
    </row>
    <row r="1312" spans="22:30" x14ac:dyDescent="0.35">
      <c r="V1312" s="77"/>
      <c r="W1312" s="77"/>
      <c r="X1312" s="77"/>
      <c r="Y1312" s="77"/>
      <c r="Z1312" s="77"/>
      <c r="AA1312" s="77"/>
      <c r="AB1312" s="77"/>
      <c r="AC1312" s="77"/>
      <c r="AD1312" s="77"/>
    </row>
    <row r="1313" spans="22:30" x14ac:dyDescent="0.35">
      <c r="V1313" s="77"/>
      <c r="W1313" s="77"/>
      <c r="X1313" s="77"/>
      <c r="Y1313" s="77"/>
      <c r="Z1313" s="77"/>
      <c r="AA1313" s="77"/>
      <c r="AB1313" s="77"/>
      <c r="AC1313" s="77"/>
      <c r="AD1313" s="77"/>
    </row>
    <row r="1314" spans="22:30" x14ac:dyDescent="0.35">
      <c r="V1314" s="77"/>
      <c r="W1314" s="77"/>
      <c r="X1314" s="77"/>
      <c r="Y1314" s="77"/>
      <c r="Z1314" s="77"/>
      <c r="AA1314" s="77"/>
      <c r="AB1314" s="77"/>
      <c r="AC1314" s="77"/>
      <c r="AD1314" s="77"/>
    </row>
    <row r="1315" spans="22:30" x14ac:dyDescent="0.35">
      <c r="V1315" s="77"/>
      <c r="W1315" s="77"/>
      <c r="X1315" s="77"/>
      <c r="Y1315" s="77"/>
      <c r="Z1315" s="77"/>
      <c r="AA1315" s="77"/>
      <c r="AB1315" s="77"/>
      <c r="AC1315" s="77"/>
      <c r="AD1315" s="77"/>
    </row>
    <row r="1316" spans="22:30" x14ac:dyDescent="0.35">
      <c r="V1316" s="77"/>
      <c r="W1316" s="77"/>
      <c r="X1316" s="77"/>
      <c r="Y1316" s="77"/>
      <c r="Z1316" s="77"/>
      <c r="AA1316" s="77"/>
      <c r="AB1316" s="77"/>
      <c r="AC1316" s="77"/>
      <c r="AD1316" s="77"/>
    </row>
    <row r="1317" spans="22:30" x14ac:dyDescent="0.35">
      <c r="V1317" s="77"/>
      <c r="W1317" s="77"/>
      <c r="X1317" s="77"/>
      <c r="Y1317" s="77"/>
      <c r="Z1317" s="77"/>
      <c r="AA1317" s="77"/>
      <c r="AB1317" s="77"/>
      <c r="AC1317" s="77"/>
      <c r="AD1317" s="77"/>
    </row>
    <row r="1318" spans="22:30" x14ac:dyDescent="0.35">
      <c r="V1318" s="77"/>
      <c r="W1318" s="77"/>
      <c r="X1318" s="77"/>
      <c r="Y1318" s="77"/>
      <c r="Z1318" s="77"/>
      <c r="AA1318" s="77"/>
      <c r="AB1318" s="77"/>
      <c r="AC1318" s="77"/>
      <c r="AD1318" s="77"/>
    </row>
    <row r="1319" spans="22:30" x14ac:dyDescent="0.35">
      <c r="V1319" s="77"/>
      <c r="W1319" s="77"/>
      <c r="X1319" s="77"/>
      <c r="Y1319" s="77"/>
      <c r="Z1319" s="77"/>
      <c r="AA1319" s="77"/>
      <c r="AB1319" s="77"/>
      <c r="AC1319" s="77"/>
      <c r="AD1319" s="77"/>
    </row>
    <row r="1320" spans="22:30" x14ac:dyDescent="0.35">
      <c r="V1320" s="77"/>
      <c r="W1320" s="77"/>
      <c r="X1320" s="77"/>
      <c r="Y1320" s="77"/>
      <c r="Z1320" s="77"/>
      <c r="AA1320" s="77"/>
      <c r="AB1320" s="77"/>
      <c r="AC1320" s="77"/>
      <c r="AD1320" s="77"/>
    </row>
    <row r="1321" spans="22:30" x14ac:dyDescent="0.35">
      <c r="V1321" s="77"/>
      <c r="W1321" s="77"/>
      <c r="X1321" s="77"/>
      <c r="Y1321" s="77"/>
      <c r="Z1321" s="77"/>
      <c r="AA1321" s="77"/>
      <c r="AB1321" s="77"/>
      <c r="AC1321" s="77"/>
      <c r="AD1321" s="77"/>
    </row>
    <row r="1322" spans="22:30" x14ac:dyDescent="0.35">
      <c r="V1322" s="77"/>
      <c r="W1322" s="77"/>
      <c r="X1322" s="77"/>
      <c r="Y1322" s="77"/>
      <c r="Z1322" s="77"/>
      <c r="AA1322" s="77"/>
      <c r="AB1322" s="77"/>
      <c r="AC1322" s="77"/>
      <c r="AD1322" s="77"/>
    </row>
    <row r="1323" spans="22:30" x14ac:dyDescent="0.35">
      <c r="V1323" s="77"/>
      <c r="W1323" s="77"/>
      <c r="X1323" s="77"/>
      <c r="Y1323" s="77"/>
      <c r="Z1323" s="77"/>
      <c r="AA1323" s="77"/>
      <c r="AB1323" s="77"/>
      <c r="AC1323" s="77"/>
      <c r="AD1323" s="77"/>
    </row>
    <row r="1324" spans="22:30" x14ac:dyDescent="0.35">
      <c r="V1324" s="77"/>
      <c r="W1324" s="77"/>
      <c r="X1324" s="77"/>
      <c r="Y1324" s="77"/>
      <c r="Z1324" s="77"/>
      <c r="AA1324" s="77"/>
      <c r="AB1324" s="77"/>
      <c r="AC1324" s="77"/>
      <c r="AD1324" s="77"/>
    </row>
    <row r="1325" spans="22:30" x14ac:dyDescent="0.35">
      <c r="V1325" s="77"/>
      <c r="W1325" s="77"/>
      <c r="X1325" s="77"/>
      <c r="Y1325" s="77"/>
      <c r="Z1325" s="77"/>
      <c r="AA1325" s="77"/>
      <c r="AB1325" s="77"/>
      <c r="AC1325" s="77"/>
      <c r="AD1325" s="77"/>
    </row>
    <row r="1326" spans="22:30" x14ac:dyDescent="0.35">
      <c r="V1326" s="77"/>
      <c r="W1326" s="77"/>
      <c r="X1326" s="77"/>
      <c r="Y1326" s="77"/>
      <c r="Z1326" s="77"/>
      <c r="AA1326" s="77"/>
      <c r="AB1326" s="77"/>
      <c r="AC1326" s="77"/>
      <c r="AD1326" s="77"/>
    </row>
    <row r="1327" spans="22:30" x14ac:dyDescent="0.35">
      <c r="V1327" s="77"/>
      <c r="W1327" s="77"/>
      <c r="X1327" s="77"/>
      <c r="Y1327" s="77"/>
      <c r="Z1327" s="77"/>
      <c r="AA1327" s="77"/>
      <c r="AB1327" s="77"/>
      <c r="AC1327" s="77"/>
      <c r="AD1327" s="77"/>
    </row>
    <row r="1328" spans="22:30" x14ac:dyDescent="0.35">
      <c r="V1328" s="77"/>
      <c r="W1328" s="77"/>
      <c r="X1328" s="77"/>
      <c r="Y1328" s="77"/>
      <c r="Z1328" s="77"/>
      <c r="AA1328" s="77"/>
      <c r="AB1328" s="77"/>
      <c r="AC1328" s="77"/>
      <c r="AD1328" s="77"/>
    </row>
    <row r="1329" spans="22:30" x14ac:dyDescent="0.35">
      <c r="V1329" s="77"/>
      <c r="W1329" s="77"/>
      <c r="X1329" s="77"/>
      <c r="Y1329" s="77"/>
      <c r="Z1329" s="77"/>
      <c r="AA1329" s="77"/>
      <c r="AB1329" s="77"/>
      <c r="AC1329" s="77"/>
      <c r="AD1329" s="77"/>
    </row>
    <row r="1330" spans="22:30" x14ac:dyDescent="0.35">
      <c r="V1330" s="77"/>
      <c r="W1330" s="77"/>
      <c r="X1330" s="77"/>
      <c r="Y1330" s="77"/>
      <c r="Z1330" s="77"/>
      <c r="AA1330" s="77"/>
      <c r="AB1330" s="77"/>
      <c r="AC1330" s="77"/>
      <c r="AD1330" s="77"/>
    </row>
    <row r="1331" spans="22:30" x14ac:dyDescent="0.35">
      <c r="V1331" s="77"/>
      <c r="W1331" s="77"/>
      <c r="X1331" s="77"/>
      <c r="Y1331" s="77"/>
      <c r="Z1331" s="77"/>
      <c r="AA1331" s="77"/>
      <c r="AB1331" s="77"/>
      <c r="AC1331" s="77"/>
      <c r="AD1331" s="77"/>
    </row>
    <row r="1332" spans="22:30" x14ac:dyDescent="0.35">
      <c r="V1332" s="77"/>
      <c r="W1332" s="77"/>
      <c r="X1332" s="77"/>
      <c r="Y1332" s="77"/>
      <c r="Z1332" s="77"/>
      <c r="AA1332" s="77"/>
      <c r="AB1332" s="77"/>
      <c r="AC1332" s="77"/>
      <c r="AD1332" s="77"/>
    </row>
    <row r="1333" spans="22:30" x14ac:dyDescent="0.35">
      <c r="V1333" s="77"/>
      <c r="W1333" s="77"/>
      <c r="X1333" s="77"/>
      <c r="Y1333" s="77"/>
      <c r="Z1333" s="77"/>
      <c r="AA1333" s="77"/>
      <c r="AB1333" s="77"/>
      <c r="AC1333" s="77"/>
      <c r="AD1333" s="77"/>
    </row>
    <row r="1334" spans="22:30" x14ac:dyDescent="0.35">
      <c r="V1334" s="77"/>
      <c r="W1334" s="77"/>
      <c r="X1334" s="77"/>
      <c r="Y1334" s="77"/>
      <c r="Z1334" s="77"/>
      <c r="AA1334" s="77"/>
      <c r="AB1334" s="77"/>
      <c r="AC1334" s="77"/>
      <c r="AD1334" s="77"/>
    </row>
    <row r="1335" spans="22:30" x14ac:dyDescent="0.35">
      <c r="V1335" s="77"/>
      <c r="W1335" s="77"/>
      <c r="X1335" s="77"/>
      <c r="Y1335" s="77"/>
      <c r="Z1335" s="77"/>
      <c r="AA1335" s="77"/>
      <c r="AB1335" s="77"/>
      <c r="AC1335" s="77"/>
      <c r="AD1335" s="77"/>
    </row>
    <row r="1336" spans="22:30" x14ac:dyDescent="0.35">
      <c r="V1336" s="77"/>
      <c r="W1336" s="77"/>
      <c r="X1336" s="77"/>
      <c r="Y1336" s="77"/>
      <c r="Z1336" s="77"/>
      <c r="AA1336" s="77"/>
      <c r="AB1336" s="77"/>
      <c r="AC1336" s="77"/>
      <c r="AD1336" s="77"/>
    </row>
    <row r="1337" spans="22:30" x14ac:dyDescent="0.35">
      <c r="V1337" s="77"/>
      <c r="W1337" s="77"/>
      <c r="X1337" s="77"/>
      <c r="Y1337" s="77"/>
      <c r="Z1337" s="77"/>
      <c r="AA1337" s="77"/>
      <c r="AB1337" s="77"/>
      <c r="AC1337" s="77"/>
      <c r="AD1337" s="77"/>
    </row>
    <row r="1338" spans="22:30" x14ac:dyDescent="0.35">
      <c r="V1338" s="77"/>
      <c r="W1338" s="77"/>
      <c r="X1338" s="77"/>
      <c r="Y1338" s="77"/>
      <c r="Z1338" s="77"/>
      <c r="AA1338" s="77"/>
      <c r="AB1338" s="77"/>
      <c r="AC1338" s="77"/>
      <c r="AD1338" s="77"/>
    </row>
    <row r="1339" spans="22:30" x14ac:dyDescent="0.35">
      <c r="V1339" s="77"/>
      <c r="W1339" s="77"/>
      <c r="X1339" s="77"/>
      <c r="Y1339" s="77"/>
      <c r="Z1339" s="77"/>
      <c r="AA1339" s="77"/>
      <c r="AB1339" s="77"/>
      <c r="AC1339" s="77"/>
      <c r="AD1339" s="77"/>
    </row>
    <row r="1340" spans="22:30" x14ac:dyDescent="0.35">
      <c r="V1340" s="77"/>
      <c r="W1340" s="77"/>
      <c r="X1340" s="77"/>
      <c r="Y1340" s="77"/>
      <c r="Z1340" s="77"/>
      <c r="AA1340" s="77"/>
      <c r="AB1340" s="77"/>
      <c r="AC1340" s="77"/>
      <c r="AD1340" s="77"/>
    </row>
    <row r="1341" spans="22:30" x14ac:dyDescent="0.35">
      <c r="V1341" s="77"/>
      <c r="W1341" s="77"/>
      <c r="X1341" s="77"/>
      <c r="Y1341" s="77"/>
      <c r="Z1341" s="77"/>
      <c r="AA1341" s="77"/>
      <c r="AB1341" s="77"/>
      <c r="AC1341" s="77"/>
      <c r="AD1341" s="77"/>
    </row>
    <row r="1342" spans="22:30" x14ac:dyDescent="0.35">
      <c r="V1342" s="77"/>
      <c r="W1342" s="77"/>
      <c r="X1342" s="77"/>
      <c r="Y1342" s="77"/>
      <c r="Z1342" s="77"/>
      <c r="AA1342" s="77"/>
      <c r="AB1342" s="77"/>
      <c r="AC1342" s="77"/>
      <c r="AD1342" s="77"/>
    </row>
    <row r="1343" spans="22:30" x14ac:dyDescent="0.35">
      <c r="V1343" s="77"/>
      <c r="W1343" s="77"/>
      <c r="X1343" s="77"/>
      <c r="Y1343" s="77"/>
      <c r="Z1343" s="77"/>
      <c r="AA1343" s="77"/>
      <c r="AB1343" s="77"/>
      <c r="AC1343" s="77"/>
      <c r="AD1343" s="77"/>
    </row>
    <row r="1344" spans="22:30" x14ac:dyDescent="0.35">
      <c r="V1344" s="77"/>
      <c r="W1344" s="77"/>
      <c r="X1344" s="77"/>
      <c r="Y1344" s="77"/>
      <c r="Z1344" s="77"/>
      <c r="AA1344" s="77"/>
      <c r="AB1344" s="77"/>
      <c r="AC1344" s="77"/>
      <c r="AD1344" s="77"/>
    </row>
    <row r="1345" spans="22:30" x14ac:dyDescent="0.35">
      <c r="V1345" s="77"/>
      <c r="W1345" s="77"/>
      <c r="X1345" s="77"/>
      <c r="Y1345" s="77"/>
      <c r="Z1345" s="77"/>
      <c r="AA1345" s="77"/>
      <c r="AB1345" s="77"/>
      <c r="AC1345" s="77"/>
      <c r="AD1345" s="77"/>
    </row>
    <row r="1346" spans="22:30" x14ac:dyDescent="0.35">
      <c r="V1346" s="77"/>
      <c r="W1346" s="77"/>
      <c r="X1346" s="77"/>
      <c r="Y1346" s="77"/>
      <c r="Z1346" s="77"/>
      <c r="AA1346" s="77"/>
      <c r="AB1346" s="77"/>
      <c r="AC1346" s="77"/>
      <c r="AD1346" s="77"/>
    </row>
    <row r="1347" spans="22:30" x14ac:dyDescent="0.35">
      <c r="V1347" s="77"/>
      <c r="W1347" s="77"/>
      <c r="X1347" s="77"/>
      <c r="Y1347" s="77"/>
      <c r="Z1347" s="77"/>
      <c r="AA1347" s="77"/>
      <c r="AB1347" s="77"/>
      <c r="AC1347" s="77"/>
      <c r="AD1347" s="77"/>
    </row>
    <row r="1348" spans="22:30" x14ac:dyDescent="0.35">
      <c r="V1348" s="77"/>
      <c r="W1348" s="77"/>
      <c r="X1348" s="77"/>
      <c r="Y1348" s="77"/>
      <c r="Z1348" s="77"/>
      <c r="AA1348" s="77"/>
      <c r="AB1348" s="77"/>
      <c r="AC1348" s="77"/>
      <c r="AD1348" s="77"/>
    </row>
    <row r="1349" spans="22:30" x14ac:dyDescent="0.35">
      <c r="V1349" s="77"/>
      <c r="W1349" s="77"/>
      <c r="X1349" s="77"/>
      <c r="Y1349" s="77"/>
      <c r="Z1349" s="77"/>
      <c r="AA1349" s="77"/>
      <c r="AB1349" s="77"/>
      <c r="AC1349" s="77"/>
      <c r="AD1349" s="77"/>
    </row>
    <row r="1350" spans="22:30" x14ac:dyDescent="0.35">
      <c r="V1350" s="77"/>
      <c r="W1350" s="77"/>
      <c r="X1350" s="77"/>
      <c r="Y1350" s="77"/>
      <c r="Z1350" s="77"/>
      <c r="AA1350" s="77"/>
      <c r="AB1350" s="77"/>
      <c r="AC1350" s="77"/>
      <c r="AD1350" s="77"/>
    </row>
    <row r="1351" spans="22:30" x14ac:dyDescent="0.35">
      <c r="V1351" s="77"/>
      <c r="W1351" s="77"/>
      <c r="X1351" s="77"/>
      <c r="Y1351" s="77"/>
      <c r="Z1351" s="77"/>
      <c r="AA1351" s="77"/>
      <c r="AB1351" s="77"/>
      <c r="AC1351" s="77"/>
      <c r="AD1351" s="77"/>
    </row>
    <row r="1352" spans="22:30" x14ac:dyDescent="0.35">
      <c r="V1352" s="77"/>
      <c r="W1352" s="77"/>
      <c r="X1352" s="77"/>
      <c r="Y1352" s="77"/>
      <c r="Z1352" s="77"/>
      <c r="AA1352" s="77"/>
      <c r="AB1352" s="77"/>
      <c r="AC1352" s="77"/>
      <c r="AD1352" s="77"/>
    </row>
    <row r="1353" spans="22:30" x14ac:dyDescent="0.35">
      <c r="V1353" s="77"/>
      <c r="W1353" s="77"/>
      <c r="X1353" s="77"/>
      <c r="Y1353" s="77"/>
      <c r="Z1353" s="77"/>
      <c r="AA1353" s="77"/>
      <c r="AB1353" s="77"/>
      <c r="AC1353" s="77"/>
      <c r="AD1353" s="77"/>
    </row>
    <row r="1354" spans="22:30" x14ac:dyDescent="0.35">
      <c r="V1354" s="77"/>
      <c r="W1354" s="77"/>
      <c r="X1354" s="77"/>
      <c r="Y1354" s="77"/>
      <c r="Z1354" s="77"/>
      <c r="AA1354" s="77"/>
      <c r="AB1354" s="77"/>
      <c r="AC1354" s="77"/>
      <c r="AD1354" s="77"/>
    </row>
    <row r="1355" spans="22:30" x14ac:dyDescent="0.35">
      <c r="V1355" s="77"/>
      <c r="W1355" s="77"/>
      <c r="X1355" s="77"/>
      <c r="Y1355" s="77"/>
      <c r="Z1355" s="77"/>
      <c r="AA1355" s="77"/>
      <c r="AB1355" s="77"/>
      <c r="AC1355" s="77"/>
      <c r="AD1355" s="77"/>
    </row>
    <row r="1356" spans="22:30" x14ac:dyDescent="0.35">
      <c r="V1356" s="77"/>
      <c r="W1356" s="77"/>
      <c r="X1356" s="77"/>
      <c r="Y1356" s="77"/>
      <c r="Z1356" s="77"/>
      <c r="AA1356" s="77"/>
      <c r="AB1356" s="77"/>
      <c r="AC1356" s="77"/>
      <c r="AD1356" s="77"/>
    </row>
    <row r="1357" spans="22:30" x14ac:dyDescent="0.35">
      <c r="V1357" s="77"/>
      <c r="W1357" s="77"/>
      <c r="X1357" s="77"/>
      <c r="Y1357" s="77"/>
      <c r="Z1357" s="77"/>
      <c r="AA1357" s="77"/>
      <c r="AB1357" s="77"/>
      <c r="AC1357" s="77"/>
      <c r="AD1357" s="77"/>
    </row>
    <row r="1358" spans="22:30" x14ac:dyDescent="0.35">
      <c r="V1358" s="77"/>
      <c r="W1358" s="77"/>
      <c r="X1358" s="77"/>
      <c r="Y1358" s="77"/>
      <c r="Z1358" s="77"/>
      <c r="AA1358" s="77"/>
      <c r="AB1358" s="77"/>
      <c r="AC1358" s="77"/>
      <c r="AD1358" s="77"/>
    </row>
    <row r="1359" spans="22:30" x14ac:dyDescent="0.35">
      <c r="V1359" s="77"/>
      <c r="W1359" s="77"/>
      <c r="X1359" s="77"/>
      <c r="Y1359" s="77"/>
      <c r="Z1359" s="77"/>
      <c r="AA1359" s="77"/>
      <c r="AB1359" s="77"/>
      <c r="AC1359" s="77"/>
      <c r="AD1359" s="77"/>
    </row>
    <row r="1360" spans="22:30" x14ac:dyDescent="0.35">
      <c r="V1360" s="77"/>
      <c r="W1360" s="77"/>
      <c r="X1360" s="77"/>
      <c r="Y1360" s="77"/>
      <c r="Z1360" s="77"/>
      <c r="AA1360" s="77"/>
      <c r="AB1360" s="77"/>
      <c r="AC1360" s="77"/>
      <c r="AD1360" s="77"/>
    </row>
    <row r="1361" spans="22:30" x14ac:dyDescent="0.35">
      <c r="V1361" s="77"/>
      <c r="W1361" s="77"/>
      <c r="X1361" s="77"/>
      <c r="Y1361" s="77"/>
      <c r="Z1361" s="77"/>
      <c r="AA1361" s="77"/>
      <c r="AB1361" s="77"/>
      <c r="AC1361" s="77"/>
      <c r="AD1361" s="77"/>
    </row>
    <row r="1362" spans="22:30" x14ac:dyDescent="0.35">
      <c r="V1362" s="77"/>
      <c r="W1362" s="77"/>
      <c r="X1362" s="77"/>
      <c r="Y1362" s="77"/>
      <c r="Z1362" s="77"/>
      <c r="AA1362" s="77"/>
      <c r="AB1362" s="77"/>
      <c r="AC1362" s="77"/>
      <c r="AD1362" s="77"/>
    </row>
    <row r="1363" spans="22:30" x14ac:dyDescent="0.35">
      <c r="V1363" s="77"/>
      <c r="W1363" s="77"/>
      <c r="X1363" s="77"/>
      <c r="Y1363" s="77"/>
      <c r="Z1363" s="77"/>
      <c r="AA1363" s="77"/>
      <c r="AB1363" s="77"/>
      <c r="AC1363" s="77"/>
      <c r="AD1363" s="77"/>
    </row>
    <row r="1364" spans="22:30" x14ac:dyDescent="0.35">
      <c r="V1364" s="77"/>
      <c r="W1364" s="77"/>
      <c r="X1364" s="77"/>
      <c r="Y1364" s="77"/>
      <c r="Z1364" s="77"/>
      <c r="AA1364" s="77"/>
      <c r="AB1364" s="77"/>
      <c r="AC1364" s="77"/>
      <c r="AD1364" s="77"/>
    </row>
    <row r="1365" spans="22:30" x14ac:dyDescent="0.35">
      <c r="V1365" s="77"/>
      <c r="W1365" s="77"/>
      <c r="X1365" s="77"/>
      <c r="Y1365" s="77"/>
      <c r="Z1365" s="77"/>
      <c r="AA1365" s="77"/>
      <c r="AB1365" s="77"/>
      <c r="AC1365" s="77"/>
      <c r="AD1365" s="77"/>
    </row>
    <row r="1366" spans="22:30" x14ac:dyDescent="0.35">
      <c r="V1366" s="77"/>
      <c r="W1366" s="77"/>
      <c r="X1366" s="77"/>
      <c r="Y1366" s="77"/>
      <c r="Z1366" s="77"/>
      <c r="AA1366" s="77"/>
      <c r="AB1366" s="77"/>
      <c r="AC1366" s="77"/>
      <c r="AD1366" s="77"/>
    </row>
    <row r="1367" spans="22:30" x14ac:dyDescent="0.35">
      <c r="V1367" s="77"/>
      <c r="W1367" s="77"/>
      <c r="X1367" s="77"/>
      <c r="Y1367" s="77"/>
      <c r="Z1367" s="77"/>
      <c r="AA1367" s="77"/>
      <c r="AB1367" s="77"/>
      <c r="AC1367" s="77"/>
      <c r="AD1367" s="77"/>
    </row>
    <row r="1368" spans="22:30" x14ac:dyDescent="0.35">
      <c r="V1368" s="77"/>
      <c r="W1368" s="77"/>
      <c r="X1368" s="77"/>
      <c r="Y1368" s="77"/>
      <c r="Z1368" s="77"/>
      <c r="AA1368" s="77"/>
      <c r="AB1368" s="77"/>
      <c r="AC1368" s="77"/>
      <c r="AD1368" s="77"/>
    </row>
    <row r="1369" spans="22:30" x14ac:dyDescent="0.35">
      <c r="V1369" s="77"/>
      <c r="W1369" s="77"/>
      <c r="X1369" s="77"/>
      <c r="Y1369" s="77"/>
      <c r="Z1369" s="77"/>
      <c r="AA1369" s="77"/>
      <c r="AB1369" s="77"/>
      <c r="AC1369" s="77"/>
      <c r="AD1369" s="77"/>
    </row>
    <row r="1370" spans="22:30" x14ac:dyDescent="0.35">
      <c r="V1370" s="77"/>
      <c r="W1370" s="77"/>
      <c r="X1370" s="77"/>
      <c r="Y1370" s="77"/>
      <c r="Z1370" s="77"/>
      <c r="AA1370" s="77"/>
      <c r="AB1370" s="77"/>
      <c r="AC1370" s="77"/>
      <c r="AD1370" s="77"/>
    </row>
    <row r="1371" spans="22:30" x14ac:dyDescent="0.35">
      <c r="V1371" s="77"/>
      <c r="W1371" s="77"/>
      <c r="X1371" s="77"/>
      <c r="Y1371" s="77"/>
      <c r="Z1371" s="77"/>
      <c r="AA1371" s="77"/>
      <c r="AB1371" s="77"/>
      <c r="AC1371" s="77"/>
      <c r="AD1371" s="77"/>
    </row>
    <row r="1372" spans="22:30" x14ac:dyDescent="0.35">
      <c r="V1372" s="77"/>
      <c r="W1372" s="77"/>
      <c r="X1372" s="77"/>
      <c r="Y1372" s="77"/>
      <c r="Z1372" s="77"/>
      <c r="AA1372" s="77"/>
      <c r="AB1372" s="77"/>
      <c r="AC1372" s="77"/>
      <c r="AD1372" s="77"/>
    </row>
    <row r="1373" spans="22:30" x14ac:dyDescent="0.35">
      <c r="V1373" s="77"/>
      <c r="W1373" s="77"/>
      <c r="X1373" s="77"/>
      <c r="Y1373" s="77"/>
      <c r="Z1373" s="77"/>
      <c r="AA1373" s="77"/>
      <c r="AB1373" s="77"/>
      <c r="AC1373" s="77"/>
      <c r="AD1373" s="77"/>
    </row>
    <row r="1374" spans="22:30" x14ac:dyDescent="0.35">
      <c r="V1374" s="77"/>
      <c r="W1374" s="77"/>
      <c r="X1374" s="77"/>
      <c r="Y1374" s="77"/>
      <c r="Z1374" s="77"/>
      <c r="AA1374" s="77"/>
      <c r="AB1374" s="77"/>
      <c r="AC1374" s="77"/>
      <c r="AD1374" s="77"/>
    </row>
    <row r="1375" spans="22:30" x14ac:dyDescent="0.35">
      <c r="V1375" s="77"/>
      <c r="W1375" s="77"/>
      <c r="X1375" s="77"/>
      <c r="Y1375" s="77"/>
      <c r="Z1375" s="77"/>
      <c r="AA1375" s="77"/>
      <c r="AB1375" s="77"/>
      <c r="AC1375" s="77"/>
      <c r="AD1375" s="77"/>
    </row>
    <row r="1376" spans="22:30" x14ac:dyDescent="0.35">
      <c r="V1376" s="77"/>
      <c r="W1376" s="77"/>
      <c r="X1376" s="77"/>
      <c r="Y1376" s="77"/>
      <c r="Z1376" s="77"/>
      <c r="AA1376" s="77"/>
      <c r="AB1376" s="77"/>
      <c r="AC1376" s="77"/>
      <c r="AD1376" s="77"/>
    </row>
    <row r="1377" spans="22:30" x14ac:dyDescent="0.35">
      <c r="V1377" s="77"/>
      <c r="W1377" s="77"/>
      <c r="X1377" s="77"/>
      <c r="Y1377" s="77"/>
      <c r="Z1377" s="77"/>
      <c r="AA1377" s="77"/>
      <c r="AB1377" s="77"/>
      <c r="AC1377" s="77"/>
      <c r="AD1377" s="77"/>
    </row>
    <row r="1378" spans="22:30" x14ac:dyDescent="0.35">
      <c r="V1378" s="77"/>
      <c r="W1378" s="77"/>
      <c r="X1378" s="77"/>
      <c r="Y1378" s="77"/>
      <c r="Z1378" s="77"/>
      <c r="AA1378" s="77"/>
      <c r="AB1378" s="77"/>
      <c r="AC1378" s="77"/>
      <c r="AD1378" s="77"/>
    </row>
    <row r="1379" spans="22:30" x14ac:dyDescent="0.35">
      <c r="V1379" s="77"/>
      <c r="W1379" s="77"/>
      <c r="X1379" s="77"/>
      <c r="Y1379" s="77"/>
      <c r="Z1379" s="77"/>
      <c r="AA1379" s="77"/>
      <c r="AB1379" s="77"/>
      <c r="AC1379" s="77"/>
      <c r="AD1379" s="77"/>
    </row>
    <row r="1380" spans="22:30" x14ac:dyDescent="0.35">
      <c r="V1380" s="77"/>
      <c r="W1380" s="77"/>
      <c r="X1380" s="77"/>
      <c r="Y1380" s="77"/>
      <c r="Z1380" s="77"/>
      <c r="AA1380" s="77"/>
      <c r="AB1380" s="77"/>
      <c r="AC1380" s="77"/>
      <c r="AD1380" s="77"/>
    </row>
    <row r="1381" spans="22:30" x14ac:dyDescent="0.35">
      <c r="V1381" s="77"/>
      <c r="W1381" s="77"/>
      <c r="X1381" s="77"/>
      <c r="Y1381" s="77"/>
      <c r="Z1381" s="77"/>
      <c r="AA1381" s="77"/>
      <c r="AB1381" s="77"/>
      <c r="AC1381" s="77"/>
      <c r="AD1381" s="77"/>
    </row>
    <row r="1382" spans="22:30" x14ac:dyDescent="0.35">
      <c r="V1382" s="77"/>
      <c r="W1382" s="77"/>
      <c r="X1382" s="77"/>
      <c r="Y1382" s="77"/>
      <c r="Z1382" s="77"/>
      <c r="AA1382" s="77"/>
      <c r="AB1382" s="77"/>
      <c r="AC1382" s="77"/>
      <c r="AD1382" s="77"/>
    </row>
    <row r="1383" spans="22:30" x14ac:dyDescent="0.35">
      <c r="V1383" s="77"/>
      <c r="W1383" s="77"/>
      <c r="X1383" s="77"/>
      <c r="Y1383" s="77"/>
      <c r="Z1383" s="77"/>
      <c r="AA1383" s="77"/>
      <c r="AB1383" s="77"/>
      <c r="AC1383" s="77"/>
      <c r="AD1383" s="77"/>
    </row>
    <row r="1384" spans="22:30" x14ac:dyDescent="0.35">
      <c r="V1384" s="77"/>
      <c r="W1384" s="77"/>
      <c r="X1384" s="77"/>
      <c r="Y1384" s="77"/>
      <c r="Z1384" s="77"/>
      <c r="AA1384" s="77"/>
      <c r="AB1384" s="77"/>
      <c r="AC1384" s="77"/>
      <c r="AD1384" s="77"/>
    </row>
    <row r="1385" spans="22:30" x14ac:dyDescent="0.35">
      <c r="V1385" s="77"/>
      <c r="W1385" s="77"/>
      <c r="X1385" s="77"/>
      <c r="Y1385" s="77"/>
      <c r="Z1385" s="77"/>
      <c r="AA1385" s="77"/>
      <c r="AB1385" s="77"/>
      <c r="AC1385" s="77"/>
      <c r="AD1385" s="77"/>
    </row>
    <row r="1386" spans="22:30" x14ac:dyDescent="0.35">
      <c r="V1386" s="77"/>
      <c r="W1386" s="77"/>
      <c r="X1386" s="77"/>
      <c r="Y1386" s="77"/>
      <c r="Z1386" s="77"/>
      <c r="AA1386" s="77"/>
      <c r="AB1386" s="77"/>
      <c r="AC1386" s="77"/>
      <c r="AD1386" s="77"/>
    </row>
    <row r="1387" spans="22:30" x14ac:dyDescent="0.35">
      <c r="V1387" s="77"/>
      <c r="W1387" s="77"/>
      <c r="X1387" s="77"/>
      <c r="Y1387" s="77"/>
      <c r="Z1387" s="77"/>
      <c r="AA1387" s="77"/>
      <c r="AB1387" s="77"/>
      <c r="AC1387" s="77"/>
      <c r="AD1387" s="77"/>
    </row>
    <row r="1388" spans="22:30" x14ac:dyDescent="0.35">
      <c r="V1388" s="77"/>
      <c r="W1388" s="77"/>
      <c r="X1388" s="77"/>
      <c r="Y1388" s="77"/>
      <c r="Z1388" s="77"/>
      <c r="AA1388" s="77"/>
      <c r="AB1388" s="77"/>
      <c r="AC1388" s="77"/>
      <c r="AD1388" s="77"/>
    </row>
    <row r="1389" spans="22:30" x14ac:dyDescent="0.35">
      <c r="V1389" s="77"/>
      <c r="W1389" s="77"/>
      <c r="X1389" s="77"/>
      <c r="Y1389" s="77"/>
      <c r="Z1389" s="77"/>
      <c r="AA1389" s="77"/>
      <c r="AB1389" s="77"/>
      <c r="AC1389" s="77"/>
      <c r="AD1389" s="77"/>
    </row>
    <row r="1390" spans="22:30" x14ac:dyDescent="0.35">
      <c r="V1390" s="77"/>
      <c r="W1390" s="77"/>
      <c r="X1390" s="77"/>
      <c r="Y1390" s="77"/>
      <c r="Z1390" s="77"/>
      <c r="AA1390" s="77"/>
      <c r="AB1390" s="77"/>
      <c r="AC1390" s="77"/>
      <c r="AD1390" s="77"/>
    </row>
    <row r="1391" spans="22:30" x14ac:dyDescent="0.35">
      <c r="V1391" s="77"/>
      <c r="W1391" s="77"/>
      <c r="X1391" s="77"/>
      <c r="Y1391" s="77"/>
      <c r="Z1391" s="77"/>
      <c r="AA1391" s="77"/>
      <c r="AB1391" s="77"/>
      <c r="AC1391" s="77"/>
      <c r="AD1391" s="77"/>
    </row>
    <row r="1392" spans="22:30" x14ac:dyDescent="0.35">
      <c r="V1392" s="77"/>
      <c r="W1392" s="77"/>
      <c r="X1392" s="77"/>
      <c r="Y1392" s="77"/>
      <c r="Z1392" s="77"/>
      <c r="AA1392" s="77"/>
      <c r="AB1392" s="77"/>
      <c r="AC1392" s="77"/>
      <c r="AD1392" s="77"/>
    </row>
    <row r="1393" spans="22:30" x14ac:dyDescent="0.35">
      <c r="V1393" s="77"/>
      <c r="W1393" s="77"/>
      <c r="X1393" s="77"/>
      <c r="Y1393" s="77"/>
      <c r="Z1393" s="77"/>
      <c r="AA1393" s="77"/>
      <c r="AB1393" s="77"/>
      <c r="AC1393" s="77"/>
      <c r="AD1393" s="77"/>
    </row>
    <row r="1394" spans="22:30" x14ac:dyDescent="0.35">
      <c r="V1394" s="77"/>
      <c r="W1394" s="77"/>
      <c r="X1394" s="77"/>
      <c r="Y1394" s="77"/>
      <c r="Z1394" s="77"/>
      <c r="AA1394" s="77"/>
      <c r="AB1394" s="77"/>
      <c r="AC1394" s="77"/>
      <c r="AD1394" s="77"/>
    </row>
    <row r="1395" spans="22:30" x14ac:dyDescent="0.35">
      <c r="V1395" s="77"/>
      <c r="W1395" s="77"/>
      <c r="X1395" s="77"/>
      <c r="Y1395" s="77"/>
      <c r="Z1395" s="77"/>
      <c r="AA1395" s="77"/>
      <c r="AB1395" s="77"/>
      <c r="AC1395" s="77"/>
      <c r="AD1395" s="77"/>
    </row>
    <row r="1396" spans="22:30" x14ac:dyDescent="0.35">
      <c r="V1396" s="77"/>
      <c r="W1396" s="77"/>
      <c r="X1396" s="77"/>
      <c r="Y1396" s="77"/>
      <c r="Z1396" s="77"/>
      <c r="AA1396" s="77"/>
      <c r="AB1396" s="77"/>
      <c r="AC1396" s="77"/>
      <c r="AD1396" s="77"/>
    </row>
    <row r="1397" spans="22:30" x14ac:dyDescent="0.35">
      <c r="V1397" s="77"/>
      <c r="W1397" s="77"/>
      <c r="X1397" s="77"/>
      <c r="Y1397" s="77"/>
      <c r="Z1397" s="77"/>
      <c r="AA1397" s="77"/>
      <c r="AB1397" s="77"/>
      <c r="AC1397" s="77"/>
      <c r="AD1397" s="77"/>
    </row>
    <row r="1398" spans="22:30" x14ac:dyDescent="0.35">
      <c r="V1398" s="77"/>
      <c r="W1398" s="77"/>
      <c r="X1398" s="77"/>
      <c r="Y1398" s="77"/>
      <c r="Z1398" s="77"/>
      <c r="AA1398" s="77"/>
      <c r="AB1398" s="77"/>
      <c r="AC1398" s="77"/>
      <c r="AD1398" s="77"/>
    </row>
    <row r="1399" spans="22:30" x14ac:dyDescent="0.35">
      <c r="V1399" s="77"/>
      <c r="W1399" s="77"/>
      <c r="X1399" s="77"/>
      <c r="Y1399" s="77"/>
      <c r="Z1399" s="77"/>
      <c r="AA1399" s="77"/>
      <c r="AB1399" s="77"/>
      <c r="AC1399" s="77"/>
      <c r="AD1399" s="77"/>
    </row>
    <row r="1400" spans="22:30" x14ac:dyDescent="0.35">
      <c r="V1400" s="77"/>
      <c r="W1400" s="77"/>
      <c r="X1400" s="77"/>
      <c r="Y1400" s="77"/>
      <c r="Z1400" s="77"/>
      <c r="AA1400" s="77"/>
      <c r="AB1400" s="77"/>
      <c r="AC1400" s="77"/>
      <c r="AD1400" s="77"/>
    </row>
    <row r="1401" spans="22:30" x14ac:dyDescent="0.35">
      <c r="V1401" s="77"/>
      <c r="W1401" s="77"/>
      <c r="X1401" s="77"/>
      <c r="Y1401" s="77"/>
      <c r="Z1401" s="77"/>
      <c r="AA1401" s="77"/>
      <c r="AB1401" s="77"/>
      <c r="AC1401" s="77"/>
      <c r="AD1401" s="77"/>
    </row>
    <row r="1402" spans="22:30" x14ac:dyDescent="0.35">
      <c r="V1402" s="77"/>
      <c r="W1402" s="77"/>
      <c r="X1402" s="77"/>
      <c r="Y1402" s="77"/>
      <c r="Z1402" s="77"/>
      <c r="AA1402" s="77"/>
      <c r="AB1402" s="77"/>
      <c r="AC1402" s="77"/>
      <c r="AD1402" s="77"/>
    </row>
    <row r="1403" spans="22:30" x14ac:dyDescent="0.35">
      <c r="V1403" s="77"/>
      <c r="W1403" s="77"/>
      <c r="X1403" s="77"/>
      <c r="Y1403" s="77"/>
      <c r="Z1403" s="77"/>
      <c r="AA1403" s="77"/>
      <c r="AB1403" s="77"/>
      <c r="AC1403" s="77"/>
      <c r="AD1403" s="77"/>
    </row>
    <row r="1404" spans="22:30" x14ac:dyDescent="0.35">
      <c r="V1404" s="77"/>
      <c r="W1404" s="77"/>
      <c r="X1404" s="77"/>
      <c r="Y1404" s="77"/>
      <c r="Z1404" s="77"/>
      <c r="AA1404" s="77"/>
      <c r="AB1404" s="77"/>
      <c r="AC1404" s="77"/>
      <c r="AD1404" s="77"/>
    </row>
    <row r="1405" spans="22:30" x14ac:dyDescent="0.35">
      <c r="V1405" s="77"/>
      <c r="W1405" s="77"/>
      <c r="X1405" s="77"/>
      <c r="Y1405" s="77"/>
      <c r="Z1405" s="77"/>
      <c r="AA1405" s="77"/>
      <c r="AB1405" s="77"/>
      <c r="AC1405" s="77"/>
      <c r="AD1405" s="77"/>
    </row>
    <row r="1406" spans="22:30" x14ac:dyDescent="0.35">
      <c r="V1406" s="77"/>
      <c r="W1406" s="77"/>
      <c r="X1406" s="77"/>
      <c r="Y1406" s="77"/>
      <c r="Z1406" s="77"/>
      <c r="AA1406" s="77"/>
      <c r="AB1406" s="77"/>
      <c r="AC1406" s="77"/>
      <c r="AD1406" s="77"/>
    </row>
    <row r="1407" spans="22:30" x14ac:dyDescent="0.35">
      <c r="V1407" s="77"/>
      <c r="W1407" s="77"/>
      <c r="X1407" s="77"/>
      <c r="Y1407" s="77"/>
      <c r="Z1407" s="77"/>
      <c r="AA1407" s="77"/>
      <c r="AB1407" s="77"/>
      <c r="AC1407" s="77"/>
      <c r="AD1407" s="77"/>
    </row>
    <row r="1408" spans="22:30" x14ac:dyDescent="0.35">
      <c r="V1408" s="77"/>
      <c r="W1408" s="77"/>
      <c r="X1408" s="77"/>
      <c r="Y1408" s="77"/>
      <c r="Z1408" s="77"/>
      <c r="AA1408" s="77"/>
      <c r="AB1408" s="77"/>
      <c r="AC1408" s="77"/>
      <c r="AD1408" s="77"/>
    </row>
    <row r="1409" spans="22:30" x14ac:dyDescent="0.35">
      <c r="V1409" s="77"/>
      <c r="W1409" s="77"/>
      <c r="X1409" s="77"/>
      <c r="Y1409" s="77"/>
      <c r="Z1409" s="77"/>
      <c r="AA1409" s="77"/>
      <c r="AB1409" s="77"/>
      <c r="AC1409" s="77"/>
      <c r="AD1409" s="77"/>
    </row>
    <row r="1410" spans="22:30" x14ac:dyDescent="0.35">
      <c r="V1410" s="77"/>
      <c r="W1410" s="77"/>
      <c r="X1410" s="77"/>
      <c r="Y1410" s="77"/>
      <c r="Z1410" s="77"/>
      <c r="AA1410" s="77"/>
      <c r="AB1410" s="77"/>
      <c r="AC1410" s="77"/>
      <c r="AD1410" s="77"/>
    </row>
    <row r="1411" spans="22:30" x14ac:dyDescent="0.35">
      <c r="V1411" s="77"/>
      <c r="W1411" s="77"/>
      <c r="X1411" s="77"/>
      <c r="Y1411" s="77"/>
      <c r="Z1411" s="77"/>
      <c r="AA1411" s="77"/>
      <c r="AB1411" s="77"/>
      <c r="AC1411" s="77"/>
      <c r="AD1411" s="77"/>
    </row>
    <row r="1412" spans="22:30" x14ac:dyDescent="0.35">
      <c r="V1412" s="77"/>
      <c r="W1412" s="77"/>
      <c r="X1412" s="77"/>
      <c r="Y1412" s="77"/>
      <c r="Z1412" s="77"/>
      <c r="AA1412" s="77"/>
      <c r="AB1412" s="77"/>
      <c r="AC1412" s="77"/>
      <c r="AD1412" s="77"/>
    </row>
    <row r="1413" spans="22:30" x14ac:dyDescent="0.35">
      <c r="V1413" s="77"/>
      <c r="W1413" s="77"/>
      <c r="X1413" s="77"/>
      <c r="Y1413" s="77"/>
      <c r="Z1413" s="77"/>
      <c r="AA1413" s="77"/>
      <c r="AB1413" s="77"/>
      <c r="AC1413" s="77"/>
      <c r="AD1413" s="77"/>
    </row>
    <row r="1414" spans="22:30" x14ac:dyDescent="0.35">
      <c r="V1414" s="77"/>
      <c r="W1414" s="77"/>
      <c r="X1414" s="77"/>
      <c r="Y1414" s="77"/>
      <c r="Z1414" s="77"/>
      <c r="AA1414" s="77"/>
      <c r="AB1414" s="77"/>
      <c r="AC1414" s="77"/>
      <c r="AD1414" s="77"/>
    </row>
    <row r="1415" spans="22:30" x14ac:dyDescent="0.35">
      <c r="V1415" s="77"/>
      <c r="W1415" s="77"/>
      <c r="X1415" s="77"/>
      <c r="Y1415" s="77"/>
      <c r="Z1415" s="77"/>
      <c r="AA1415" s="77"/>
      <c r="AB1415" s="77"/>
      <c r="AC1415" s="77"/>
      <c r="AD1415" s="77"/>
    </row>
    <row r="1416" spans="22:30" x14ac:dyDescent="0.35">
      <c r="V1416" s="77"/>
      <c r="W1416" s="77"/>
      <c r="X1416" s="77"/>
      <c r="Y1416" s="77"/>
      <c r="Z1416" s="77"/>
      <c r="AA1416" s="77"/>
      <c r="AB1416" s="77"/>
      <c r="AC1416" s="77"/>
      <c r="AD1416" s="77"/>
    </row>
    <row r="1417" spans="22:30" x14ac:dyDescent="0.35">
      <c r="V1417" s="77"/>
      <c r="W1417" s="77"/>
      <c r="X1417" s="77"/>
      <c r="Y1417" s="77"/>
      <c r="Z1417" s="77"/>
      <c r="AA1417" s="77"/>
      <c r="AB1417" s="77"/>
      <c r="AC1417" s="77"/>
      <c r="AD1417" s="77"/>
    </row>
    <row r="1418" spans="22:30" x14ac:dyDescent="0.35">
      <c r="V1418" s="77"/>
      <c r="W1418" s="77"/>
      <c r="X1418" s="77"/>
      <c r="Y1418" s="77"/>
      <c r="Z1418" s="77"/>
      <c r="AA1418" s="77"/>
      <c r="AB1418" s="77"/>
      <c r="AC1418" s="77"/>
      <c r="AD1418" s="77"/>
    </row>
    <row r="1419" spans="22:30" x14ac:dyDescent="0.35">
      <c r="V1419" s="77"/>
      <c r="W1419" s="77"/>
      <c r="X1419" s="77"/>
      <c r="Y1419" s="77"/>
      <c r="Z1419" s="77"/>
      <c r="AA1419" s="77"/>
      <c r="AB1419" s="77"/>
      <c r="AC1419" s="77"/>
      <c r="AD1419" s="77"/>
    </row>
    <row r="1420" spans="22:30" x14ac:dyDescent="0.35">
      <c r="V1420" s="77"/>
      <c r="W1420" s="77"/>
      <c r="X1420" s="77"/>
      <c r="Y1420" s="77"/>
      <c r="Z1420" s="77"/>
      <c r="AA1420" s="77"/>
      <c r="AB1420" s="77"/>
      <c r="AC1420" s="77"/>
      <c r="AD1420" s="77"/>
    </row>
    <row r="1421" spans="22:30" x14ac:dyDescent="0.35">
      <c r="V1421" s="77"/>
      <c r="W1421" s="77"/>
      <c r="X1421" s="77"/>
      <c r="Y1421" s="77"/>
      <c r="Z1421" s="77"/>
      <c r="AA1421" s="77"/>
      <c r="AB1421" s="77"/>
      <c r="AC1421" s="77"/>
      <c r="AD1421" s="77"/>
    </row>
    <row r="1422" spans="22:30" x14ac:dyDescent="0.35">
      <c r="V1422" s="77"/>
      <c r="W1422" s="77"/>
      <c r="X1422" s="77"/>
      <c r="Y1422" s="77"/>
      <c r="Z1422" s="77"/>
      <c r="AA1422" s="77"/>
      <c r="AB1422" s="77"/>
      <c r="AC1422" s="77"/>
      <c r="AD1422" s="77"/>
    </row>
    <row r="1423" spans="22:30" x14ac:dyDescent="0.35">
      <c r="V1423" s="77"/>
      <c r="W1423" s="77"/>
      <c r="X1423" s="77"/>
      <c r="Y1423" s="77"/>
      <c r="Z1423" s="77"/>
      <c r="AA1423" s="77"/>
      <c r="AB1423" s="77"/>
      <c r="AC1423" s="77"/>
      <c r="AD1423" s="77"/>
    </row>
    <row r="1424" spans="22:30" x14ac:dyDescent="0.35">
      <c r="V1424" s="77"/>
      <c r="W1424" s="77"/>
      <c r="X1424" s="77"/>
      <c r="Y1424" s="77"/>
      <c r="Z1424" s="77"/>
      <c r="AA1424" s="77"/>
      <c r="AB1424" s="77"/>
      <c r="AC1424" s="77"/>
      <c r="AD1424" s="77"/>
    </row>
    <row r="1425" spans="22:30" x14ac:dyDescent="0.35">
      <c r="V1425" s="77"/>
      <c r="W1425" s="77"/>
      <c r="X1425" s="77"/>
      <c r="Y1425" s="77"/>
      <c r="Z1425" s="77"/>
      <c r="AA1425" s="77"/>
      <c r="AB1425" s="77"/>
      <c r="AC1425" s="77"/>
      <c r="AD1425" s="77"/>
    </row>
    <row r="1426" spans="22:30" x14ac:dyDescent="0.35">
      <c r="V1426" s="77"/>
      <c r="W1426" s="77"/>
      <c r="X1426" s="77"/>
      <c r="Y1426" s="77"/>
      <c r="Z1426" s="77"/>
      <c r="AA1426" s="77"/>
      <c r="AB1426" s="77"/>
      <c r="AC1426" s="77"/>
      <c r="AD1426" s="77"/>
    </row>
    <row r="1427" spans="22:30" x14ac:dyDescent="0.35">
      <c r="V1427" s="77"/>
      <c r="W1427" s="77"/>
      <c r="X1427" s="77"/>
      <c r="Y1427" s="77"/>
      <c r="Z1427" s="77"/>
      <c r="AA1427" s="77"/>
      <c r="AB1427" s="77"/>
      <c r="AC1427" s="77"/>
      <c r="AD1427" s="77"/>
    </row>
    <row r="1428" spans="22:30" x14ac:dyDescent="0.35">
      <c r="V1428" s="77"/>
      <c r="W1428" s="77"/>
      <c r="X1428" s="77"/>
      <c r="Y1428" s="77"/>
      <c r="Z1428" s="77"/>
      <c r="AA1428" s="77"/>
      <c r="AB1428" s="77"/>
      <c r="AC1428" s="77"/>
      <c r="AD1428" s="77"/>
    </row>
    <row r="1429" spans="22:30" x14ac:dyDescent="0.35">
      <c r="V1429" s="77"/>
      <c r="W1429" s="77"/>
      <c r="X1429" s="77"/>
      <c r="Y1429" s="77"/>
      <c r="Z1429" s="77"/>
      <c r="AA1429" s="77"/>
      <c r="AB1429" s="77"/>
      <c r="AC1429" s="77"/>
      <c r="AD1429" s="77"/>
    </row>
    <row r="1430" spans="22:30" x14ac:dyDescent="0.35">
      <c r="V1430" s="77"/>
      <c r="W1430" s="77"/>
      <c r="X1430" s="77"/>
      <c r="Y1430" s="77"/>
      <c r="Z1430" s="77"/>
      <c r="AA1430" s="77"/>
      <c r="AB1430" s="77"/>
      <c r="AC1430" s="77"/>
      <c r="AD1430" s="77"/>
    </row>
    <row r="1431" spans="22:30" x14ac:dyDescent="0.35">
      <c r="V1431" s="77"/>
      <c r="W1431" s="77"/>
      <c r="X1431" s="77"/>
      <c r="Y1431" s="77"/>
      <c r="Z1431" s="77"/>
      <c r="AA1431" s="77"/>
      <c r="AB1431" s="77"/>
      <c r="AC1431" s="77"/>
      <c r="AD1431" s="77"/>
    </row>
    <row r="1432" spans="22:30" x14ac:dyDescent="0.35">
      <c r="V1432" s="77"/>
      <c r="W1432" s="77"/>
      <c r="X1432" s="77"/>
      <c r="Y1432" s="77"/>
      <c r="Z1432" s="77"/>
      <c r="AA1432" s="77"/>
      <c r="AB1432" s="77"/>
      <c r="AC1432" s="77"/>
      <c r="AD1432" s="77"/>
    </row>
    <row r="1433" spans="22:30" x14ac:dyDescent="0.35">
      <c r="V1433" s="77"/>
      <c r="W1433" s="77"/>
      <c r="X1433" s="77"/>
      <c r="Y1433" s="77"/>
      <c r="Z1433" s="77"/>
      <c r="AA1433" s="77"/>
      <c r="AB1433" s="77"/>
      <c r="AC1433" s="77"/>
      <c r="AD1433" s="77"/>
    </row>
    <row r="1434" spans="22:30" x14ac:dyDescent="0.35">
      <c r="V1434" s="77"/>
      <c r="W1434" s="77"/>
      <c r="X1434" s="77"/>
      <c r="Y1434" s="77"/>
      <c r="Z1434" s="77"/>
      <c r="AA1434" s="77"/>
      <c r="AB1434" s="77"/>
      <c r="AC1434" s="77"/>
      <c r="AD1434" s="77"/>
    </row>
    <row r="1435" spans="22:30" x14ac:dyDescent="0.35">
      <c r="V1435" s="77"/>
      <c r="W1435" s="77"/>
      <c r="X1435" s="77"/>
      <c r="Y1435" s="77"/>
      <c r="Z1435" s="77"/>
      <c r="AA1435" s="77"/>
      <c r="AB1435" s="77"/>
      <c r="AC1435" s="77"/>
      <c r="AD1435" s="77"/>
    </row>
    <row r="1436" spans="22:30" x14ac:dyDescent="0.35">
      <c r="V1436" s="77"/>
      <c r="W1436" s="77"/>
      <c r="X1436" s="77"/>
      <c r="Y1436" s="77"/>
      <c r="Z1436" s="77"/>
      <c r="AA1436" s="77"/>
      <c r="AB1436" s="77"/>
      <c r="AC1436" s="77"/>
      <c r="AD1436" s="77"/>
    </row>
    <row r="1437" spans="22:30" x14ac:dyDescent="0.35">
      <c r="V1437" s="77"/>
      <c r="W1437" s="77"/>
      <c r="X1437" s="77"/>
      <c r="Y1437" s="77"/>
      <c r="Z1437" s="77"/>
      <c r="AA1437" s="77"/>
      <c r="AB1437" s="77"/>
      <c r="AC1437" s="77"/>
      <c r="AD1437" s="77"/>
    </row>
    <row r="1438" spans="22:30" x14ac:dyDescent="0.35">
      <c r="V1438" s="77"/>
      <c r="W1438" s="77"/>
      <c r="X1438" s="77"/>
      <c r="Y1438" s="77"/>
      <c r="Z1438" s="77"/>
      <c r="AA1438" s="77"/>
      <c r="AB1438" s="77"/>
      <c r="AC1438" s="77"/>
      <c r="AD1438" s="77"/>
    </row>
    <row r="1439" spans="22:30" x14ac:dyDescent="0.35">
      <c r="V1439" s="77"/>
      <c r="W1439" s="77"/>
      <c r="X1439" s="77"/>
      <c r="Y1439" s="77"/>
      <c r="Z1439" s="77"/>
      <c r="AA1439" s="77"/>
      <c r="AB1439" s="77"/>
      <c r="AC1439" s="77"/>
      <c r="AD1439" s="77"/>
    </row>
    <row r="1440" spans="22:30" x14ac:dyDescent="0.35">
      <c r="V1440" s="77"/>
      <c r="W1440" s="77"/>
      <c r="X1440" s="77"/>
      <c r="Y1440" s="77"/>
      <c r="Z1440" s="77"/>
      <c r="AA1440" s="77"/>
      <c r="AB1440" s="77"/>
      <c r="AC1440" s="77"/>
      <c r="AD1440" s="77"/>
    </row>
    <row r="1441" spans="22:30" x14ac:dyDescent="0.35">
      <c r="V1441" s="77"/>
      <c r="W1441" s="77"/>
      <c r="X1441" s="77"/>
      <c r="Y1441" s="77"/>
      <c r="Z1441" s="77"/>
      <c r="AA1441" s="77"/>
      <c r="AB1441" s="77"/>
      <c r="AC1441" s="77"/>
      <c r="AD1441" s="77"/>
    </row>
    <row r="1442" spans="22:30" x14ac:dyDescent="0.35">
      <c r="V1442" s="77"/>
      <c r="W1442" s="77"/>
      <c r="X1442" s="77"/>
      <c r="Y1442" s="77"/>
      <c r="Z1442" s="77"/>
      <c r="AA1442" s="77"/>
      <c r="AB1442" s="77"/>
      <c r="AC1442" s="77"/>
      <c r="AD1442" s="77"/>
    </row>
    <row r="1443" spans="22:30" x14ac:dyDescent="0.35">
      <c r="V1443" s="77"/>
      <c r="W1443" s="77"/>
      <c r="X1443" s="77"/>
      <c r="Y1443" s="77"/>
      <c r="Z1443" s="77"/>
      <c r="AA1443" s="77"/>
      <c r="AB1443" s="77"/>
      <c r="AC1443" s="77"/>
      <c r="AD1443" s="77"/>
    </row>
    <row r="1444" spans="22:30" x14ac:dyDescent="0.35">
      <c r="V1444" s="77"/>
      <c r="W1444" s="77"/>
      <c r="X1444" s="77"/>
      <c r="Y1444" s="77"/>
      <c r="Z1444" s="77"/>
      <c r="AA1444" s="77"/>
      <c r="AB1444" s="77"/>
      <c r="AC1444" s="77"/>
      <c r="AD1444" s="77"/>
    </row>
    <row r="1445" spans="22:30" x14ac:dyDescent="0.35">
      <c r="V1445" s="77"/>
      <c r="W1445" s="77"/>
      <c r="X1445" s="77"/>
      <c r="Y1445" s="77"/>
      <c r="Z1445" s="77"/>
      <c r="AA1445" s="77"/>
      <c r="AB1445" s="77"/>
      <c r="AC1445" s="77"/>
      <c r="AD1445" s="77"/>
    </row>
    <row r="1446" spans="22:30" x14ac:dyDescent="0.35">
      <c r="V1446" s="77"/>
      <c r="W1446" s="77"/>
      <c r="X1446" s="77"/>
      <c r="Y1446" s="77"/>
      <c r="Z1446" s="77"/>
      <c r="AA1446" s="77"/>
      <c r="AB1446" s="77"/>
      <c r="AC1446" s="77"/>
      <c r="AD1446" s="77"/>
    </row>
    <row r="1447" spans="22:30" x14ac:dyDescent="0.35">
      <c r="V1447" s="77"/>
      <c r="W1447" s="77"/>
      <c r="X1447" s="77"/>
      <c r="Y1447" s="77"/>
      <c r="Z1447" s="77"/>
      <c r="AA1447" s="77"/>
      <c r="AB1447" s="77"/>
      <c r="AC1447" s="77"/>
      <c r="AD1447" s="77"/>
    </row>
    <row r="1448" spans="22:30" x14ac:dyDescent="0.35">
      <c r="V1448" s="77"/>
      <c r="W1448" s="77"/>
      <c r="X1448" s="77"/>
      <c r="Y1448" s="77"/>
      <c r="Z1448" s="77"/>
      <c r="AA1448" s="77"/>
      <c r="AB1448" s="77"/>
      <c r="AC1448" s="77"/>
      <c r="AD1448" s="77"/>
    </row>
    <row r="1449" spans="22:30" x14ac:dyDescent="0.35">
      <c r="V1449" s="77"/>
      <c r="W1449" s="77"/>
      <c r="X1449" s="77"/>
      <c r="Y1449" s="77"/>
      <c r="Z1449" s="77"/>
      <c r="AA1449" s="77"/>
      <c r="AB1449" s="77"/>
      <c r="AC1449" s="77"/>
      <c r="AD1449" s="77"/>
    </row>
    <row r="1450" spans="22:30" x14ac:dyDescent="0.35">
      <c r="V1450" s="77"/>
      <c r="W1450" s="77"/>
      <c r="X1450" s="77"/>
      <c r="Y1450" s="77"/>
      <c r="Z1450" s="77"/>
      <c r="AA1450" s="77"/>
      <c r="AB1450" s="77"/>
      <c r="AC1450" s="77"/>
      <c r="AD1450" s="77"/>
    </row>
    <row r="1451" spans="22:30" x14ac:dyDescent="0.35">
      <c r="V1451" s="77"/>
      <c r="W1451" s="77"/>
      <c r="X1451" s="77"/>
      <c r="Y1451" s="77"/>
      <c r="Z1451" s="77"/>
      <c r="AA1451" s="77"/>
      <c r="AB1451" s="77"/>
      <c r="AC1451" s="77"/>
      <c r="AD1451" s="77"/>
    </row>
    <row r="1452" spans="22:30" x14ac:dyDescent="0.35">
      <c r="V1452" s="77"/>
      <c r="W1452" s="77"/>
      <c r="X1452" s="77"/>
      <c r="Y1452" s="77"/>
      <c r="Z1452" s="77"/>
      <c r="AA1452" s="77"/>
      <c r="AB1452" s="77"/>
      <c r="AC1452" s="77"/>
      <c r="AD1452" s="77"/>
    </row>
    <row r="1453" spans="22:30" x14ac:dyDescent="0.35">
      <c r="V1453" s="77"/>
      <c r="W1453" s="77"/>
      <c r="X1453" s="77"/>
      <c r="Y1453" s="77"/>
      <c r="Z1453" s="77"/>
      <c r="AA1453" s="77"/>
      <c r="AB1453" s="77"/>
      <c r="AC1453" s="77"/>
      <c r="AD1453" s="77"/>
    </row>
    <row r="1454" spans="22:30" x14ac:dyDescent="0.35">
      <c r="V1454" s="77"/>
      <c r="W1454" s="77"/>
      <c r="X1454" s="77"/>
      <c r="Y1454" s="77"/>
      <c r="Z1454" s="77"/>
      <c r="AA1454" s="77"/>
      <c r="AB1454" s="77"/>
      <c r="AC1454" s="77"/>
      <c r="AD1454" s="77"/>
    </row>
    <row r="1455" spans="22:30" x14ac:dyDescent="0.35">
      <c r="V1455" s="77"/>
      <c r="W1455" s="77"/>
      <c r="X1455" s="77"/>
      <c r="Y1455" s="77"/>
      <c r="Z1455" s="77"/>
      <c r="AA1455" s="77"/>
      <c r="AB1455" s="77"/>
      <c r="AC1455" s="77"/>
      <c r="AD1455" s="77"/>
    </row>
    <row r="1456" spans="22:30" x14ac:dyDescent="0.35">
      <c r="V1456" s="77"/>
      <c r="W1456" s="77"/>
      <c r="X1456" s="77"/>
      <c r="Y1456" s="77"/>
      <c r="Z1456" s="77"/>
      <c r="AA1456" s="77"/>
      <c r="AB1456" s="77"/>
      <c r="AC1456" s="77"/>
      <c r="AD1456" s="77"/>
    </row>
    <row r="1457" spans="22:30" x14ac:dyDescent="0.35">
      <c r="V1457" s="77"/>
      <c r="W1457" s="77"/>
      <c r="X1457" s="77"/>
      <c r="Y1457" s="77"/>
      <c r="Z1457" s="77"/>
      <c r="AA1457" s="77"/>
      <c r="AB1457" s="77"/>
      <c r="AC1457" s="77"/>
      <c r="AD1457" s="77"/>
    </row>
    <row r="1458" spans="22:30" x14ac:dyDescent="0.35">
      <c r="V1458" s="77"/>
      <c r="W1458" s="77"/>
      <c r="X1458" s="77"/>
      <c r="Y1458" s="77"/>
      <c r="Z1458" s="77"/>
      <c r="AA1458" s="77"/>
      <c r="AB1458" s="77"/>
      <c r="AC1458" s="77"/>
      <c r="AD1458" s="77"/>
    </row>
    <row r="1459" spans="22:30" x14ac:dyDescent="0.35">
      <c r="V1459" s="77"/>
      <c r="W1459" s="77"/>
      <c r="X1459" s="77"/>
      <c r="Y1459" s="77"/>
      <c r="Z1459" s="77"/>
      <c r="AA1459" s="77"/>
      <c r="AB1459" s="77"/>
      <c r="AC1459" s="77"/>
      <c r="AD1459" s="77"/>
    </row>
    <row r="1460" spans="22:30" x14ac:dyDescent="0.35">
      <c r="V1460" s="77"/>
      <c r="W1460" s="77"/>
      <c r="X1460" s="77"/>
      <c r="Y1460" s="77"/>
      <c r="Z1460" s="77"/>
      <c r="AA1460" s="77"/>
      <c r="AB1460" s="77"/>
      <c r="AC1460" s="77"/>
      <c r="AD1460" s="77"/>
    </row>
    <row r="1461" spans="22:30" x14ac:dyDescent="0.35">
      <c r="V1461" s="77"/>
      <c r="W1461" s="77"/>
      <c r="X1461" s="77"/>
      <c r="Y1461" s="77"/>
      <c r="Z1461" s="77"/>
      <c r="AA1461" s="77"/>
      <c r="AB1461" s="77"/>
      <c r="AC1461" s="77"/>
      <c r="AD1461" s="77"/>
    </row>
    <row r="1462" spans="22:30" x14ac:dyDescent="0.35">
      <c r="V1462" s="77"/>
      <c r="W1462" s="77"/>
      <c r="X1462" s="77"/>
      <c r="Y1462" s="77"/>
      <c r="Z1462" s="77"/>
      <c r="AA1462" s="77"/>
      <c r="AB1462" s="77"/>
      <c r="AC1462" s="77"/>
      <c r="AD1462" s="77"/>
    </row>
  </sheetData>
  <phoneticPr fontId="0" type="noConversion"/>
  <pageMargins left="0.78740157499999996" right="0.78740157499999996" top="0.984251969" bottom="0.984251969" header="0.4921259845" footer="0.4921259845"/>
  <pageSetup paperSize="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9"/>
  <sheetViews>
    <sheetView zoomScaleNormal="100" workbookViewId="0">
      <pane xSplit="1" ySplit="1" topLeftCell="B59" activePane="bottomRight" state="frozen"/>
      <selection pane="topRight" sqref="A1:G1"/>
      <selection pane="bottomLeft" sqref="A1:G1"/>
      <selection pane="bottomRight" activeCell="F82" sqref="F82"/>
    </sheetView>
  </sheetViews>
  <sheetFormatPr baseColWidth="10" defaultColWidth="11.453125" defaultRowHeight="12.5" x14ac:dyDescent="0.25"/>
  <cols>
    <col min="1" max="1" width="11" style="24" bestFit="1" customWidth="1"/>
    <col min="2" max="2" width="15.54296875" style="24" bestFit="1" customWidth="1"/>
    <col min="3" max="6" width="14.1796875" style="24" customWidth="1"/>
  </cols>
  <sheetData>
    <row r="1" spans="1:11" s="3" customFormat="1" ht="15" x14ac:dyDescent="0.25">
      <c r="A1" s="33" t="s">
        <v>74</v>
      </c>
      <c r="B1" s="33" t="s">
        <v>75</v>
      </c>
      <c r="C1" s="33" t="s">
        <v>76</v>
      </c>
      <c r="D1" s="33" t="s">
        <v>77</v>
      </c>
      <c r="E1" s="33" t="s">
        <v>78</v>
      </c>
      <c r="F1" s="33" t="s">
        <v>79</v>
      </c>
      <c r="G1"/>
      <c r="H1"/>
      <c r="I1"/>
      <c r="J1"/>
      <c r="K1"/>
    </row>
    <row r="2" spans="1:11" x14ac:dyDescent="0.25">
      <c r="A2" s="48" t="s">
        <v>65</v>
      </c>
      <c r="B2" s="48" t="s">
        <v>80</v>
      </c>
      <c r="C2" s="49">
        <v>46113</v>
      </c>
      <c r="D2" s="49">
        <v>46142</v>
      </c>
      <c r="E2" s="48">
        <v>-4.9006000000000001E-2</v>
      </c>
      <c r="F2" s="48">
        <v>-3.3384999999999998E-2</v>
      </c>
    </row>
    <row r="3" spans="1:11" x14ac:dyDescent="0.25">
      <c r="A3" s="48" t="s">
        <v>65</v>
      </c>
      <c r="B3" s="48" t="s">
        <v>80</v>
      </c>
      <c r="C3" s="49">
        <v>46143</v>
      </c>
      <c r="D3" s="49">
        <v>46173</v>
      </c>
      <c r="E3" s="48">
        <v>-4.9006000000000001E-2</v>
      </c>
      <c r="F3" s="48">
        <v>-3.3384999999999998E-2</v>
      </c>
    </row>
    <row r="4" spans="1:11" x14ac:dyDescent="0.25">
      <c r="A4" s="48" t="s">
        <v>65</v>
      </c>
      <c r="B4" s="48" t="s">
        <v>80</v>
      </c>
      <c r="C4" s="49">
        <v>46174</v>
      </c>
      <c r="D4" s="49">
        <v>46203</v>
      </c>
      <c r="E4" s="48">
        <v>-4.9006000000000001E-2</v>
      </c>
      <c r="F4" s="48">
        <v>-3.3384999999999998E-2</v>
      </c>
    </row>
    <row r="5" spans="1:11" x14ac:dyDescent="0.25">
      <c r="A5" s="48" t="s">
        <v>65</v>
      </c>
      <c r="B5" s="48" t="s">
        <v>80</v>
      </c>
      <c r="C5" s="49">
        <v>46204</v>
      </c>
      <c r="D5" s="49">
        <v>46234</v>
      </c>
      <c r="E5" s="48">
        <v>0</v>
      </c>
      <c r="F5" s="48">
        <v>0</v>
      </c>
    </row>
    <row r="6" spans="1:11" x14ac:dyDescent="0.25">
      <c r="A6" s="48" t="s">
        <v>65</v>
      </c>
      <c r="B6" s="48" t="s">
        <v>80</v>
      </c>
      <c r="C6" s="49">
        <v>46235</v>
      </c>
      <c r="D6" s="49">
        <v>46265</v>
      </c>
      <c r="E6" s="48">
        <v>0</v>
      </c>
      <c r="F6" s="48">
        <v>0</v>
      </c>
    </row>
    <row r="7" spans="1:11" x14ac:dyDescent="0.25">
      <c r="A7" s="48" t="s">
        <v>65</v>
      </c>
      <c r="B7" s="48" t="s">
        <v>80</v>
      </c>
      <c r="C7" s="49">
        <v>46266</v>
      </c>
      <c r="D7" s="49">
        <v>46295</v>
      </c>
      <c r="E7" s="48">
        <v>-4.9006000000000001E-2</v>
      </c>
      <c r="F7" s="48">
        <v>-3.3384999999999998E-2</v>
      </c>
    </row>
    <row r="8" spans="1:11" x14ac:dyDescent="0.25">
      <c r="A8" s="48" t="s">
        <v>65</v>
      </c>
      <c r="B8" s="48" t="s">
        <v>80</v>
      </c>
      <c r="C8" s="49">
        <v>46296</v>
      </c>
      <c r="D8" s="49">
        <v>46326</v>
      </c>
      <c r="E8" s="48">
        <v>-7.0111000000000007E-2</v>
      </c>
      <c r="F8" s="48">
        <v>-7.1060999999999999E-2</v>
      </c>
    </row>
    <row r="9" spans="1:11" x14ac:dyDescent="0.25">
      <c r="A9" s="48" t="s">
        <v>65</v>
      </c>
      <c r="B9" s="48" t="s">
        <v>80</v>
      </c>
      <c r="C9" s="49">
        <v>46327</v>
      </c>
      <c r="D9" s="49">
        <v>46356</v>
      </c>
      <c r="E9" s="48">
        <v>-7.0111000000000007E-2</v>
      </c>
      <c r="F9" s="48">
        <v>-7.1060999999999999E-2</v>
      </c>
    </row>
    <row r="10" spans="1:11" x14ac:dyDescent="0.25">
      <c r="A10" s="48" t="s">
        <v>65</v>
      </c>
      <c r="B10" s="48" t="s">
        <v>80</v>
      </c>
      <c r="C10" s="49">
        <v>46357</v>
      </c>
      <c r="D10" s="49">
        <v>46387</v>
      </c>
      <c r="E10" s="48">
        <v>-9.7147999999999998E-2</v>
      </c>
      <c r="F10" s="48">
        <v>-9.6923999999999996E-2</v>
      </c>
    </row>
    <row r="11" spans="1:11" x14ac:dyDescent="0.25">
      <c r="A11" s="48" t="s">
        <v>65</v>
      </c>
      <c r="B11" s="48" t="s">
        <v>80</v>
      </c>
      <c r="C11" s="49">
        <v>46388</v>
      </c>
      <c r="D11" s="49">
        <v>46418</v>
      </c>
      <c r="E11" s="48">
        <v>-9.7147999999999998E-2</v>
      </c>
      <c r="F11" s="48">
        <v>-9.6923999999999996E-2</v>
      </c>
    </row>
    <row r="12" spans="1:11" x14ac:dyDescent="0.25">
      <c r="A12" s="48" t="s">
        <v>65</v>
      </c>
      <c r="B12" s="48" t="s">
        <v>80</v>
      </c>
      <c r="C12" s="49">
        <v>46419</v>
      </c>
      <c r="D12" s="49">
        <v>46446</v>
      </c>
      <c r="E12" s="48">
        <v>-9.7147999999999998E-2</v>
      </c>
      <c r="F12" s="48">
        <v>-9.6923999999999996E-2</v>
      </c>
    </row>
    <row r="13" spans="1:11" x14ac:dyDescent="0.25">
      <c r="A13" s="48" t="s">
        <v>65</v>
      </c>
      <c r="B13" s="48" t="s">
        <v>80</v>
      </c>
      <c r="C13" s="49">
        <v>46447</v>
      </c>
      <c r="D13" s="49">
        <v>46477</v>
      </c>
      <c r="E13" s="48">
        <v>-9.7147999999999998E-2</v>
      </c>
      <c r="F13" s="48">
        <v>-9.6923999999999996E-2</v>
      </c>
    </row>
    <row r="14" spans="1:11" x14ac:dyDescent="0.25">
      <c r="A14" s="42" t="s">
        <v>66</v>
      </c>
      <c r="B14" s="42" t="s">
        <v>80</v>
      </c>
      <c r="C14" s="43">
        <v>46113</v>
      </c>
      <c r="D14" s="43">
        <v>46142</v>
      </c>
      <c r="E14" s="42">
        <v>-0.137571</v>
      </c>
      <c r="F14" s="42">
        <v>-0.115324</v>
      </c>
    </row>
    <row r="15" spans="1:11" x14ac:dyDescent="0.25">
      <c r="A15" s="42" t="s">
        <v>66</v>
      </c>
      <c r="B15" s="42" t="s">
        <v>80</v>
      </c>
      <c r="C15" s="43">
        <v>46143</v>
      </c>
      <c r="D15" s="43">
        <v>46173</v>
      </c>
      <c r="E15" s="42">
        <v>-0.106833</v>
      </c>
      <c r="F15" s="42">
        <v>-8.7710999999999997E-2</v>
      </c>
    </row>
    <row r="16" spans="1:11" x14ac:dyDescent="0.25">
      <c r="A16" s="42" t="s">
        <v>66</v>
      </c>
      <c r="B16" s="42" t="s">
        <v>80</v>
      </c>
      <c r="C16" s="43">
        <v>46174</v>
      </c>
      <c r="D16" s="43">
        <v>46203</v>
      </c>
      <c r="E16" s="42">
        <v>-9.5548999999999995E-2</v>
      </c>
      <c r="F16" s="42">
        <v>-5.1505000000000002E-2</v>
      </c>
    </row>
    <row r="17" spans="1:6" x14ac:dyDescent="0.25">
      <c r="A17" s="42" t="s">
        <v>66</v>
      </c>
      <c r="B17" s="42" t="s">
        <v>80</v>
      </c>
      <c r="C17" s="43">
        <v>46204</v>
      </c>
      <c r="D17" s="43">
        <v>46234</v>
      </c>
      <c r="E17" s="42">
        <v>0</v>
      </c>
      <c r="F17" s="42">
        <v>0</v>
      </c>
    </row>
    <row r="18" spans="1:6" x14ac:dyDescent="0.25">
      <c r="A18" s="42" t="s">
        <v>66</v>
      </c>
      <c r="B18" s="42" t="s">
        <v>80</v>
      </c>
      <c r="C18" s="43">
        <v>46235</v>
      </c>
      <c r="D18" s="43">
        <v>46265</v>
      </c>
      <c r="E18" s="42">
        <v>0</v>
      </c>
      <c r="F18" s="42">
        <v>0</v>
      </c>
    </row>
    <row r="19" spans="1:6" x14ac:dyDescent="0.25">
      <c r="A19" s="42" t="s">
        <v>66</v>
      </c>
      <c r="B19" s="42" t="s">
        <v>80</v>
      </c>
      <c r="C19" s="43">
        <v>46266</v>
      </c>
      <c r="D19" s="43">
        <v>46295</v>
      </c>
      <c r="E19" s="42">
        <v>-9.5548999999999995E-2</v>
      </c>
      <c r="F19" s="42">
        <v>-5.1505000000000002E-2</v>
      </c>
    </row>
    <row r="20" spans="1:6" x14ac:dyDescent="0.25">
      <c r="A20" s="42" t="s">
        <v>66</v>
      </c>
      <c r="B20" s="42" t="s">
        <v>80</v>
      </c>
      <c r="C20" s="43">
        <v>46296</v>
      </c>
      <c r="D20" s="43">
        <v>46326</v>
      </c>
      <c r="E20" s="42">
        <v>-9.6518999999999994E-2</v>
      </c>
      <c r="F20" s="42">
        <v>-9.2772999999999994E-2</v>
      </c>
    </row>
    <row r="21" spans="1:6" x14ac:dyDescent="0.25">
      <c r="A21" s="42" t="s">
        <v>66</v>
      </c>
      <c r="B21" s="42" t="s">
        <v>80</v>
      </c>
      <c r="C21" s="43">
        <v>46327</v>
      </c>
      <c r="D21" s="43">
        <v>46356</v>
      </c>
      <c r="E21" s="42">
        <v>-0.14683399999999999</v>
      </c>
      <c r="F21" s="42">
        <v>-0.14749000000000001</v>
      </c>
    </row>
    <row r="22" spans="1:6" x14ac:dyDescent="0.25">
      <c r="A22" s="42" t="s">
        <v>66</v>
      </c>
      <c r="B22" s="42" t="s">
        <v>80</v>
      </c>
      <c r="C22" s="43">
        <v>46357</v>
      </c>
      <c r="D22" s="43">
        <v>46387</v>
      </c>
      <c r="E22" s="42">
        <v>-0.165107</v>
      </c>
      <c r="F22" s="42">
        <v>-0.168487</v>
      </c>
    </row>
    <row r="23" spans="1:6" x14ac:dyDescent="0.25">
      <c r="A23" s="42" t="s">
        <v>66</v>
      </c>
      <c r="B23" s="42" t="s">
        <v>80</v>
      </c>
      <c r="C23" s="43">
        <v>46388</v>
      </c>
      <c r="D23" s="43">
        <v>46418</v>
      </c>
      <c r="E23" s="42">
        <v>-0.165107</v>
      </c>
      <c r="F23" s="42">
        <v>-0.168487</v>
      </c>
    </row>
    <row r="24" spans="1:6" x14ac:dyDescent="0.25">
      <c r="A24" s="42" t="s">
        <v>66</v>
      </c>
      <c r="B24" s="42" t="s">
        <v>80</v>
      </c>
      <c r="C24" s="43">
        <v>46419</v>
      </c>
      <c r="D24" s="43">
        <v>46446</v>
      </c>
      <c r="E24" s="42">
        <v>-0.165107</v>
      </c>
      <c r="F24" s="42">
        <v>-0.168487</v>
      </c>
    </row>
    <row r="25" spans="1:6" x14ac:dyDescent="0.25">
      <c r="A25" s="42" t="s">
        <v>66</v>
      </c>
      <c r="B25" s="42" t="s">
        <v>80</v>
      </c>
      <c r="C25" s="43">
        <v>46447</v>
      </c>
      <c r="D25" s="43">
        <v>46477</v>
      </c>
      <c r="E25" s="42">
        <v>-0.165107</v>
      </c>
      <c r="F25" s="42">
        <v>-0.168487</v>
      </c>
    </row>
    <row r="26" spans="1:6" x14ac:dyDescent="0.25">
      <c r="A26" s="48" t="s">
        <v>67</v>
      </c>
      <c r="B26" s="48" t="s">
        <v>80</v>
      </c>
      <c r="C26" s="49">
        <v>46113</v>
      </c>
      <c r="D26" s="49">
        <v>46142</v>
      </c>
      <c r="E26" s="48">
        <v>0</v>
      </c>
      <c r="F26" s="48">
        <v>0</v>
      </c>
    </row>
    <row r="27" spans="1:6" x14ac:dyDescent="0.25">
      <c r="A27" s="48" t="s">
        <v>67</v>
      </c>
      <c r="B27" s="48" t="s">
        <v>80</v>
      </c>
      <c r="C27" s="49">
        <v>46143</v>
      </c>
      <c r="D27" s="49">
        <v>46173</v>
      </c>
      <c r="E27" s="48">
        <v>0</v>
      </c>
      <c r="F27" s="48">
        <v>0</v>
      </c>
    </row>
    <row r="28" spans="1:6" x14ac:dyDescent="0.25">
      <c r="A28" s="48" t="s">
        <v>67</v>
      </c>
      <c r="B28" s="48" t="s">
        <v>80</v>
      </c>
      <c r="C28" s="49">
        <v>46174</v>
      </c>
      <c r="D28" s="49">
        <v>46203</v>
      </c>
      <c r="E28" s="48">
        <v>0</v>
      </c>
      <c r="F28" s="48">
        <v>0</v>
      </c>
    </row>
    <row r="29" spans="1:6" x14ac:dyDescent="0.25">
      <c r="A29" s="48" t="s">
        <v>67</v>
      </c>
      <c r="B29" s="48" t="s">
        <v>80</v>
      </c>
      <c r="C29" s="49">
        <v>46204</v>
      </c>
      <c r="D29" s="49">
        <v>46234</v>
      </c>
      <c r="E29" s="48">
        <v>0</v>
      </c>
      <c r="F29" s="48">
        <v>0</v>
      </c>
    </row>
    <row r="30" spans="1:6" x14ac:dyDescent="0.25">
      <c r="A30" s="48" t="s">
        <v>67</v>
      </c>
      <c r="B30" s="48" t="s">
        <v>80</v>
      </c>
      <c r="C30" s="49">
        <v>46235</v>
      </c>
      <c r="D30" s="49">
        <v>46265</v>
      </c>
      <c r="E30" s="48">
        <v>0</v>
      </c>
      <c r="F30" s="48">
        <v>0</v>
      </c>
    </row>
    <row r="31" spans="1:6" x14ac:dyDescent="0.25">
      <c r="A31" s="48" t="s">
        <v>67</v>
      </c>
      <c r="B31" s="48" t="s">
        <v>80</v>
      </c>
      <c r="C31" s="49">
        <v>46266</v>
      </c>
      <c r="D31" s="49">
        <v>46295</v>
      </c>
      <c r="E31" s="48">
        <v>0</v>
      </c>
      <c r="F31" s="48">
        <v>0</v>
      </c>
    </row>
    <row r="32" spans="1:6" x14ac:dyDescent="0.25">
      <c r="A32" s="48" t="s">
        <v>67</v>
      </c>
      <c r="B32" s="48" t="s">
        <v>80</v>
      </c>
      <c r="C32" s="49">
        <v>46296</v>
      </c>
      <c r="D32" s="49">
        <v>46326</v>
      </c>
      <c r="E32" s="48">
        <v>0</v>
      </c>
      <c r="F32" s="48">
        <v>0</v>
      </c>
    </row>
    <row r="33" spans="1:6" x14ac:dyDescent="0.25">
      <c r="A33" s="48" t="s">
        <v>67</v>
      </c>
      <c r="B33" s="48" t="s">
        <v>80</v>
      </c>
      <c r="C33" s="49">
        <v>46327</v>
      </c>
      <c r="D33" s="49">
        <v>46356</v>
      </c>
      <c r="E33" s="48">
        <v>0</v>
      </c>
      <c r="F33" s="48">
        <v>0</v>
      </c>
    </row>
    <row r="34" spans="1:6" x14ac:dyDescent="0.25">
      <c r="A34" s="48" t="s">
        <v>67</v>
      </c>
      <c r="B34" s="48" t="s">
        <v>80</v>
      </c>
      <c r="C34" s="49">
        <v>46357</v>
      </c>
      <c r="D34" s="49">
        <v>46387</v>
      </c>
      <c r="E34" s="48">
        <v>0</v>
      </c>
      <c r="F34" s="48">
        <v>0</v>
      </c>
    </row>
    <row r="35" spans="1:6" x14ac:dyDescent="0.25">
      <c r="A35" s="48" t="s">
        <v>67</v>
      </c>
      <c r="B35" s="48" t="s">
        <v>80</v>
      </c>
      <c r="C35" s="49">
        <v>46388</v>
      </c>
      <c r="D35" s="49">
        <v>46418</v>
      </c>
      <c r="E35" s="48">
        <v>0</v>
      </c>
      <c r="F35" s="48">
        <v>0</v>
      </c>
    </row>
    <row r="36" spans="1:6" x14ac:dyDescent="0.25">
      <c r="A36" s="48" t="s">
        <v>67</v>
      </c>
      <c r="B36" s="48" t="s">
        <v>80</v>
      </c>
      <c r="C36" s="49">
        <v>46419</v>
      </c>
      <c r="D36" s="49">
        <v>46446</v>
      </c>
      <c r="E36" s="48">
        <v>0</v>
      </c>
      <c r="F36" s="48">
        <v>0</v>
      </c>
    </row>
    <row r="37" spans="1:6" x14ac:dyDescent="0.25">
      <c r="A37" s="48" t="s">
        <v>67</v>
      </c>
      <c r="B37" s="48" t="s">
        <v>80</v>
      </c>
      <c r="C37" s="49">
        <v>46447</v>
      </c>
      <c r="D37" s="49">
        <v>46477</v>
      </c>
      <c r="E37" s="48">
        <v>0</v>
      </c>
      <c r="F37" s="48">
        <v>0</v>
      </c>
    </row>
    <row r="38" spans="1:6" x14ac:dyDescent="0.25">
      <c r="A38" s="42" t="s">
        <v>68</v>
      </c>
      <c r="B38" s="42" t="s">
        <v>80</v>
      </c>
      <c r="C38" s="43">
        <v>46113</v>
      </c>
      <c r="D38" s="43">
        <v>46142</v>
      </c>
      <c r="E38" s="42">
        <v>0</v>
      </c>
      <c r="F38" s="42">
        <v>0</v>
      </c>
    </row>
    <row r="39" spans="1:6" x14ac:dyDescent="0.25">
      <c r="A39" s="42" t="s">
        <v>68</v>
      </c>
      <c r="B39" s="42" t="s">
        <v>80</v>
      </c>
      <c r="C39" s="43">
        <v>46143</v>
      </c>
      <c r="D39" s="43">
        <v>46173</v>
      </c>
      <c r="E39" s="42">
        <v>0</v>
      </c>
      <c r="F39" s="42">
        <v>0</v>
      </c>
    </row>
    <row r="40" spans="1:6" x14ac:dyDescent="0.25">
      <c r="A40" s="42" t="s">
        <v>68</v>
      </c>
      <c r="B40" s="42" t="s">
        <v>80</v>
      </c>
      <c r="C40" s="43">
        <v>46174</v>
      </c>
      <c r="D40" s="43">
        <v>46203</v>
      </c>
      <c r="E40" s="42">
        <v>0</v>
      </c>
      <c r="F40" s="42">
        <v>0</v>
      </c>
    </row>
    <row r="41" spans="1:6" x14ac:dyDescent="0.25">
      <c r="A41" s="42" t="s">
        <v>68</v>
      </c>
      <c r="B41" s="42" t="s">
        <v>80</v>
      </c>
      <c r="C41" s="43">
        <v>46204</v>
      </c>
      <c r="D41" s="43">
        <v>46234</v>
      </c>
      <c r="E41" s="42">
        <v>0</v>
      </c>
      <c r="F41" s="42">
        <v>0</v>
      </c>
    </row>
    <row r="42" spans="1:6" x14ac:dyDescent="0.25">
      <c r="A42" s="42" t="s">
        <v>68</v>
      </c>
      <c r="B42" s="42" t="s">
        <v>80</v>
      </c>
      <c r="C42" s="43">
        <v>46235</v>
      </c>
      <c r="D42" s="43">
        <v>46265</v>
      </c>
      <c r="E42" s="42">
        <v>0</v>
      </c>
      <c r="F42" s="42">
        <v>0</v>
      </c>
    </row>
    <row r="43" spans="1:6" x14ac:dyDescent="0.25">
      <c r="A43" s="42" t="s">
        <v>68</v>
      </c>
      <c r="B43" s="42" t="s">
        <v>80</v>
      </c>
      <c r="C43" s="43">
        <v>46266</v>
      </c>
      <c r="D43" s="43">
        <v>46295</v>
      </c>
      <c r="E43" s="42">
        <v>0</v>
      </c>
      <c r="F43" s="42">
        <v>0</v>
      </c>
    </row>
    <row r="44" spans="1:6" x14ac:dyDescent="0.25">
      <c r="A44" s="42" t="s">
        <v>68</v>
      </c>
      <c r="B44" s="42" t="s">
        <v>80</v>
      </c>
      <c r="C44" s="43">
        <v>46296</v>
      </c>
      <c r="D44" s="43">
        <v>46326</v>
      </c>
      <c r="E44" s="42">
        <v>0</v>
      </c>
      <c r="F44" s="42">
        <v>0</v>
      </c>
    </row>
    <row r="45" spans="1:6" x14ac:dyDescent="0.25">
      <c r="A45" s="42" t="s">
        <v>68</v>
      </c>
      <c r="B45" s="42" t="s">
        <v>80</v>
      </c>
      <c r="C45" s="43">
        <v>46327</v>
      </c>
      <c r="D45" s="43">
        <v>46356</v>
      </c>
      <c r="E45" s="42">
        <v>0</v>
      </c>
      <c r="F45" s="42">
        <v>0</v>
      </c>
    </row>
    <row r="46" spans="1:6" x14ac:dyDescent="0.25">
      <c r="A46" s="42" t="s">
        <v>68</v>
      </c>
      <c r="B46" s="42" t="s">
        <v>80</v>
      </c>
      <c r="C46" s="43">
        <v>46357</v>
      </c>
      <c r="D46" s="43">
        <v>46387</v>
      </c>
      <c r="E46" s="42">
        <v>0</v>
      </c>
      <c r="F46" s="42">
        <v>0</v>
      </c>
    </row>
    <row r="47" spans="1:6" x14ac:dyDescent="0.25">
      <c r="A47" s="42" t="s">
        <v>68</v>
      </c>
      <c r="B47" s="42" t="s">
        <v>80</v>
      </c>
      <c r="C47" s="43">
        <v>46388</v>
      </c>
      <c r="D47" s="43">
        <v>46418</v>
      </c>
      <c r="E47" s="42">
        <v>0</v>
      </c>
      <c r="F47" s="42">
        <v>0</v>
      </c>
    </row>
    <row r="48" spans="1:6" x14ac:dyDescent="0.25">
      <c r="A48" s="42" t="s">
        <v>68</v>
      </c>
      <c r="B48" s="42" t="s">
        <v>80</v>
      </c>
      <c r="C48" s="43">
        <v>46419</v>
      </c>
      <c r="D48" s="43">
        <v>46446</v>
      </c>
      <c r="E48" s="42">
        <v>0</v>
      </c>
      <c r="F48" s="42">
        <v>0</v>
      </c>
    </row>
    <row r="49" spans="1:6" x14ac:dyDescent="0.25">
      <c r="A49" s="42" t="s">
        <v>68</v>
      </c>
      <c r="B49" s="42" t="s">
        <v>80</v>
      </c>
      <c r="C49" s="43">
        <v>46447</v>
      </c>
      <c r="D49" s="43">
        <v>46477</v>
      </c>
      <c r="E49" s="42">
        <v>0</v>
      </c>
      <c r="F49" s="42">
        <v>0</v>
      </c>
    </row>
    <row r="50" spans="1:6" x14ac:dyDescent="0.25">
      <c r="A50" s="48" t="s">
        <v>69</v>
      </c>
      <c r="B50" s="48" t="s">
        <v>80</v>
      </c>
      <c r="C50" s="49">
        <v>46113</v>
      </c>
      <c r="D50" s="49">
        <v>46142</v>
      </c>
      <c r="E50" s="48">
        <v>-5.0340000000000003E-2</v>
      </c>
      <c r="F50" s="48">
        <v>-5.3183000000000001E-2</v>
      </c>
    </row>
    <row r="51" spans="1:6" x14ac:dyDescent="0.25">
      <c r="A51" s="48" t="s">
        <v>69</v>
      </c>
      <c r="B51" s="48" t="s">
        <v>80</v>
      </c>
      <c r="C51" s="49">
        <v>46143</v>
      </c>
      <c r="D51" s="49">
        <v>46173</v>
      </c>
      <c r="E51" s="48">
        <v>-5.0311000000000002E-2</v>
      </c>
      <c r="F51" s="48">
        <v>-3.8966000000000001E-2</v>
      </c>
    </row>
    <row r="52" spans="1:6" x14ac:dyDescent="0.25">
      <c r="A52" s="48" t="s">
        <v>69</v>
      </c>
      <c r="B52" s="48" t="s">
        <v>80</v>
      </c>
      <c r="C52" s="49">
        <v>46174</v>
      </c>
      <c r="D52" s="49">
        <v>46203</v>
      </c>
      <c r="E52" s="48">
        <v>-4.4539000000000002E-2</v>
      </c>
      <c r="F52" s="48">
        <v>-3.7150000000000002E-2</v>
      </c>
    </row>
    <row r="53" spans="1:6" x14ac:dyDescent="0.25">
      <c r="A53" s="48" t="s">
        <v>69</v>
      </c>
      <c r="B53" s="48" t="s">
        <v>80</v>
      </c>
      <c r="C53" s="49">
        <v>46204</v>
      </c>
      <c r="D53" s="49">
        <v>46234</v>
      </c>
      <c r="E53" s="48">
        <v>0</v>
      </c>
      <c r="F53" s="48">
        <v>0</v>
      </c>
    </row>
    <row r="54" spans="1:6" x14ac:dyDescent="0.25">
      <c r="A54" s="48" t="s">
        <v>69</v>
      </c>
      <c r="B54" s="48" t="s">
        <v>80</v>
      </c>
      <c r="C54" s="49">
        <v>46235</v>
      </c>
      <c r="D54" s="49">
        <v>46265</v>
      </c>
      <c r="E54" s="48">
        <v>0</v>
      </c>
      <c r="F54" s="48">
        <v>0</v>
      </c>
    </row>
    <row r="55" spans="1:6" x14ac:dyDescent="0.25">
      <c r="A55" s="48" t="s">
        <v>69</v>
      </c>
      <c r="B55" s="48" t="s">
        <v>80</v>
      </c>
      <c r="C55" s="49">
        <v>46266</v>
      </c>
      <c r="D55" s="49">
        <v>46295</v>
      </c>
      <c r="E55" s="48">
        <v>-4.4539000000000002E-2</v>
      </c>
      <c r="F55" s="48">
        <v>-3.7150000000000002E-2</v>
      </c>
    </row>
    <row r="56" spans="1:6" x14ac:dyDescent="0.25">
      <c r="A56" s="48" t="s">
        <v>69</v>
      </c>
      <c r="B56" s="48" t="s">
        <v>80</v>
      </c>
      <c r="C56" s="49">
        <v>46296</v>
      </c>
      <c r="D56" s="49">
        <v>46326</v>
      </c>
      <c r="E56" s="48">
        <v>-4.6857000000000003E-2</v>
      </c>
      <c r="F56" s="48">
        <v>-4.8179E-2</v>
      </c>
    </row>
    <row r="57" spans="1:6" x14ac:dyDescent="0.25">
      <c r="A57" s="48" t="s">
        <v>69</v>
      </c>
      <c r="B57" s="48" t="s">
        <v>80</v>
      </c>
      <c r="C57" s="49">
        <v>46327</v>
      </c>
      <c r="D57" s="49">
        <v>46356</v>
      </c>
      <c r="E57" s="48">
        <v>-5.0340000000000003E-2</v>
      </c>
      <c r="F57" s="48">
        <v>-5.3183000000000001E-2</v>
      </c>
    </row>
    <row r="58" spans="1:6" x14ac:dyDescent="0.25">
      <c r="A58" s="48" t="s">
        <v>69</v>
      </c>
      <c r="B58" s="48" t="s">
        <v>80</v>
      </c>
      <c r="C58" s="49">
        <v>46357</v>
      </c>
      <c r="D58" s="49">
        <v>46387</v>
      </c>
      <c r="E58" s="48">
        <v>-5.0340000000000003E-2</v>
      </c>
      <c r="F58" s="48">
        <v>-5.3183000000000001E-2</v>
      </c>
    </row>
    <row r="59" spans="1:6" x14ac:dyDescent="0.25">
      <c r="A59" s="48" t="s">
        <v>69</v>
      </c>
      <c r="B59" s="48" t="s">
        <v>80</v>
      </c>
      <c r="C59" s="49">
        <v>46388</v>
      </c>
      <c r="D59" s="49">
        <v>46418</v>
      </c>
      <c r="E59" s="48">
        <v>-5.0340000000000003E-2</v>
      </c>
      <c r="F59" s="48">
        <v>-5.3183000000000001E-2</v>
      </c>
    </row>
    <row r="60" spans="1:6" x14ac:dyDescent="0.25">
      <c r="A60" s="48" t="s">
        <v>69</v>
      </c>
      <c r="B60" s="48" t="s">
        <v>80</v>
      </c>
      <c r="C60" s="49">
        <v>46419</v>
      </c>
      <c r="D60" s="49">
        <v>46446</v>
      </c>
      <c r="E60" s="48">
        <v>-5.0340000000000003E-2</v>
      </c>
      <c r="F60" s="48">
        <v>-5.3183000000000001E-2</v>
      </c>
    </row>
    <row r="61" spans="1:6" x14ac:dyDescent="0.25">
      <c r="A61" s="48" t="s">
        <v>69</v>
      </c>
      <c r="B61" s="48" t="s">
        <v>80</v>
      </c>
      <c r="C61" s="49">
        <v>46447</v>
      </c>
      <c r="D61" s="49">
        <v>46477</v>
      </c>
      <c r="E61" s="48">
        <v>-5.0340000000000003E-2</v>
      </c>
      <c r="F61" s="48">
        <v>-5.3183000000000001E-2</v>
      </c>
    </row>
    <row r="62" spans="1:6" x14ac:dyDescent="0.25">
      <c r="A62" s="42" t="s">
        <v>70</v>
      </c>
      <c r="B62" s="42" t="s">
        <v>80</v>
      </c>
      <c r="C62" s="43">
        <v>46113</v>
      </c>
      <c r="D62" s="43">
        <v>46142</v>
      </c>
      <c r="E62" s="42">
        <v>-0.100373</v>
      </c>
      <c r="F62" s="42">
        <v>-8.9687000000000003E-2</v>
      </c>
    </row>
    <row r="63" spans="1:6" x14ac:dyDescent="0.25">
      <c r="A63" s="42" t="s">
        <v>70</v>
      </c>
      <c r="B63" s="42" t="s">
        <v>80</v>
      </c>
      <c r="C63" s="43">
        <v>46143</v>
      </c>
      <c r="D63" s="43">
        <v>46173</v>
      </c>
      <c r="E63" s="42">
        <v>-7.7548000000000006E-2</v>
      </c>
      <c r="F63" s="42">
        <v>-7.9483999999999999E-2</v>
      </c>
    </row>
    <row r="64" spans="1:6" x14ac:dyDescent="0.25">
      <c r="A64" s="42" t="s">
        <v>70</v>
      </c>
      <c r="B64" s="42" t="s">
        <v>80</v>
      </c>
      <c r="C64" s="43">
        <v>46174</v>
      </c>
      <c r="D64" s="43">
        <v>46203</v>
      </c>
      <c r="E64" s="42">
        <v>-4.8814000000000003E-2</v>
      </c>
      <c r="F64" s="42">
        <v>-3.8577E-2</v>
      </c>
    </row>
    <row r="65" spans="1:6" x14ac:dyDescent="0.25">
      <c r="A65" s="42" t="s">
        <v>70</v>
      </c>
      <c r="B65" s="42" t="s">
        <v>80</v>
      </c>
      <c r="C65" s="43">
        <v>46204</v>
      </c>
      <c r="D65" s="43">
        <v>46234</v>
      </c>
      <c r="E65" s="42">
        <v>0</v>
      </c>
      <c r="F65" s="42">
        <v>0</v>
      </c>
    </row>
    <row r="66" spans="1:6" x14ac:dyDescent="0.25">
      <c r="A66" s="42" t="s">
        <v>70</v>
      </c>
      <c r="B66" s="42" t="s">
        <v>80</v>
      </c>
      <c r="C66" s="43">
        <v>46235</v>
      </c>
      <c r="D66" s="43">
        <v>46265</v>
      </c>
      <c r="E66" s="42">
        <v>0</v>
      </c>
      <c r="F66" s="42">
        <v>0</v>
      </c>
    </row>
    <row r="67" spans="1:6" x14ac:dyDescent="0.25">
      <c r="A67" s="42" t="s">
        <v>70</v>
      </c>
      <c r="B67" s="42" t="s">
        <v>80</v>
      </c>
      <c r="C67" s="43">
        <v>46266</v>
      </c>
      <c r="D67" s="43">
        <v>46295</v>
      </c>
      <c r="E67" s="42">
        <v>-4.8814000000000003E-2</v>
      </c>
      <c r="F67" s="42">
        <v>-3.8577E-2</v>
      </c>
    </row>
    <row r="68" spans="1:6" x14ac:dyDescent="0.25">
      <c r="A68" s="42" t="s">
        <v>70</v>
      </c>
      <c r="B68" s="42" t="s">
        <v>80</v>
      </c>
      <c r="C68" s="43">
        <v>46296</v>
      </c>
      <c r="D68" s="43">
        <v>46326</v>
      </c>
      <c r="E68" s="42">
        <v>-6.2549999999999994E-2</v>
      </c>
      <c r="F68" s="42">
        <v>-7.7852000000000005E-2</v>
      </c>
    </row>
    <row r="69" spans="1:6" x14ac:dyDescent="0.25">
      <c r="A69" s="42" t="s">
        <v>70</v>
      </c>
      <c r="B69" s="42" t="s">
        <v>80</v>
      </c>
      <c r="C69" s="43">
        <v>46327</v>
      </c>
      <c r="D69" s="43">
        <v>46356</v>
      </c>
      <c r="E69" s="42">
        <v>-9.6837000000000006E-2</v>
      </c>
      <c r="F69" s="42">
        <v>-0.10216</v>
      </c>
    </row>
    <row r="70" spans="1:6" x14ac:dyDescent="0.25">
      <c r="A70" s="42" t="s">
        <v>70</v>
      </c>
      <c r="B70" s="42" t="s">
        <v>80</v>
      </c>
      <c r="C70" s="43">
        <v>46357</v>
      </c>
      <c r="D70" s="43">
        <v>46387</v>
      </c>
      <c r="E70" s="42">
        <v>-0.111499</v>
      </c>
      <c r="F70" s="42">
        <v>-0.120771</v>
      </c>
    </row>
    <row r="71" spans="1:6" x14ac:dyDescent="0.25">
      <c r="A71" s="42" t="s">
        <v>70</v>
      </c>
      <c r="B71" s="42" t="s">
        <v>80</v>
      </c>
      <c r="C71" s="43">
        <v>46388</v>
      </c>
      <c r="D71" s="43">
        <v>46418</v>
      </c>
      <c r="E71" s="42">
        <v>-0.111499</v>
      </c>
      <c r="F71" s="42">
        <v>-0.120771</v>
      </c>
    </row>
    <row r="72" spans="1:6" x14ac:dyDescent="0.25">
      <c r="A72" s="42" t="s">
        <v>70</v>
      </c>
      <c r="B72" s="42" t="s">
        <v>80</v>
      </c>
      <c r="C72" s="43">
        <v>46419</v>
      </c>
      <c r="D72" s="43">
        <v>46446</v>
      </c>
      <c r="E72" s="42">
        <v>-0.111499</v>
      </c>
      <c r="F72" s="42">
        <v>-0.120771</v>
      </c>
    </row>
    <row r="73" spans="1:6" x14ac:dyDescent="0.25">
      <c r="A73" s="42" t="s">
        <v>70</v>
      </c>
      <c r="B73" s="42" t="s">
        <v>80</v>
      </c>
      <c r="C73" s="43">
        <v>46447</v>
      </c>
      <c r="D73" s="43">
        <v>46477</v>
      </c>
      <c r="E73" s="42">
        <v>-0.111499</v>
      </c>
      <c r="F73" s="42">
        <v>-0.120771</v>
      </c>
    </row>
    <row r="74" spans="1:6" x14ac:dyDescent="0.25">
      <c r="A74" s="48" t="s">
        <v>71</v>
      </c>
      <c r="B74" s="48" t="s">
        <v>80</v>
      </c>
      <c r="C74" s="49">
        <v>46113</v>
      </c>
      <c r="D74" s="49">
        <v>46142</v>
      </c>
      <c r="E74" s="48">
        <v>-0.12517300000000001</v>
      </c>
      <c r="F74" s="48">
        <v>-0.10713499999999999</v>
      </c>
    </row>
    <row r="75" spans="1:6" x14ac:dyDescent="0.25">
      <c r="A75" s="48" t="s">
        <v>71</v>
      </c>
      <c r="B75" s="48" t="s">
        <v>80</v>
      </c>
      <c r="C75" s="49">
        <v>46143</v>
      </c>
      <c r="D75" s="49">
        <v>46173</v>
      </c>
      <c r="E75" s="48">
        <v>-8.5914000000000004E-2</v>
      </c>
      <c r="F75" s="48">
        <v>-0.10167900000000001</v>
      </c>
    </row>
    <row r="76" spans="1:6" x14ac:dyDescent="0.25">
      <c r="A76" s="48" t="s">
        <v>71</v>
      </c>
      <c r="B76" s="48" t="s">
        <v>80</v>
      </c>
      <c r="C76" s="49">
        <v>46174</v>
      </c>
      <c r="D76" s="49">
        <v>46203</v>
      </c>
      <c r="E76" s="48">
        <v>-5.2925E-2</v>
      </c>
      <c r="F76" s="48">
        <v>-2.9672E-2</v>
      </c>
    </row>
    <row r="77" spans="1:6" x14ac:dyDescent="0.25">
      <c r="A77" s="48" t="s">
        <v>71</v>
      </c>
      <c r="B77" s="48" t="s">
        <v>80</v>
      </c>
      <c r="C77" s="49">
        <v>46204</v>
      </c>
      <c r="D77" s="49">
        <v>46234</v>
      </c>
      <c r="E77" s="48">
        <v>0</v>
      </c>
      <c r="F77" s="48">
        <v>0</v>
      </c>
    </row>
    <row r="78" spans="1:6" x14ac:dyDescent="0.25">
      <c r="A78" s="48" t="s">
        <v>71</v>
      </c>
      <c r="B78" s="48" t="s">
        <v>80</v>
      </c>
      <c r="C78" s="49">
        <v>46235</v>
      </c>
      <c r="D78" s="49">
        <v>46265</v>
      </c>
      <c r="E78" s="48">
        <v>0</v>
      </c>
      <c r="F78" s="48">
        <v>0</v>
      </c>
    </row>
    <row r="79" spans="1:6" x14ac:dyDescent="0.25">
      <c r="A79" s="48" t="s">
        <v>71</v>
      </c>
      <c r="B79" s="48" t="s">
        <v>80</v>
      </c>
      <c r="C79" s="49">
        <v>46266</v>
      </c>
      <c r="D79" s="49">
        <v>46295</v>
      </c>
      <c r="E79" s="48">
        <v>-5.2925E-2</v>
      </c>
      <c r="F79" s="48">
        <v>-2.9672E-2</v>
      </c>
    </row>
    <row r="80" spans="1:6" x14ac:dyDescent="0.25">
      <c r="A80" s="48" t="s">
        <v>71</v>
      </c>
      <c r="B80" s="48" t="s">
        <v>80</v>
      </c>
      <c r="C80" s="49">
        <v>46296</v>
      </c>
      <c r="D80" s="49">
        <v>46326</v>
      </c>
      <c r="E80" s="48">
        <v>-6.8657999999999997E-2</v>
      </c>
      <c r="F80" s="48">
        <v>-7.9616999999999993E-2</v>
      </c>
    </row>
    <row r="81" spans="1:6" x14ac:dyDescent="0.25">
      <c r="A81" s="48" t="s">
        <v>71</v>
      </c>
      <c r="B81" s="48" t="s">
        <v>80</v>
      </c>
      <c r="C81" s="49">
        <v>46327</v>
      </c>
      <c r="D81" s="49">
        <v>46356</v>
      </c>
      <c r="E81" s="48">
        <v>-0.128777</v>
      </c>
      <c r="F81" s="48">
        <v>-0.131692</v>
      </c>
    </row>
    <row r="82" spans="1:6" x14ac:dyDescent="0.25">
      <c r="A82" s="48" t="s">
        <v>71</v>
      </c>
      <c r="B82" s="48" t="s">
        <v>80</v>
      </c>
      <c r="C82" s="49">
        <v>46357</v>
      </c>
      <c r="D82" s="49">
        <v>46387</v>
      </c>
      <c r="E82" s="48">
        <v>-0.139266</v>
      </c>
      <c r="F82" s="48">
        <v>-0.147677</v>
      </c>
    </row>
    <row r="83" spans="1:6" x14ac:dyDescent="0.25">
      <c r="A83" s="48" t="s">
        <v>71</v>
      </c>
      <c r="B83" s="48" t="s">
        <v>80</v>
      </c>
      <c r="C83" s="49">
        <v>46388</v>
      </c>
      <c r="D83" s="49">
        <v>46418</v>
      </c>
      <c r="E83" s="48">
        <v>-0.139266</v>
      </c>
      <c r="F83" s="48">
        <v>-0.147677</v>
      </c>
    </row>
    <row r="84" spans="1:6" x14ac:dyDescent="0.25">
      <c r="A84" s="48" t="s">
        <v>71</v>
      </c>
      <c r="B84" s="48" t="s">
        <v>80</v>
      </c>
      <c r="C84" s="49">
        <v>46419</v>
      </c>
      <c r="D84" s="49">
        <v>46446</v>
      </c>
      <c r="E84" s="48">
        <v>-0.139266</v>
      </c>
      <c r="F84" s="48">
        <v>-0.147677</v>
      </c>
    </row>
    <row r="85" spans="1:6" x14ac:dyDescent="0.25">
      <c r="A85" s="48" t="s">
        <v>71</v>
      </c>
      <c r="B85" s="48" t="s">
        <v>80</v>
      </c>
      <c r="C85" s="49">
        <v>46447</v>
      </c>
      <c r="D85" s="49">
        <v>46477</v>
      </c>
      <c r="E85" s="48">
        <v>-0.139266</v>
      </c>
      <c r="F85" s="48">
        <v>-0.147677</v>
      </c>
    </row>
    <row r="86" spans="1:6" x14ac:dyDescent="0.25">
      <c r="A86" s="42" t="s">
        <v>72</v>
      </c>
      <c r="B86" s="42" t="s">
        <v>80</v>
      </c>
      <c r="C86" s="43">
        <v>46113</v>
      </c>
      <c r="D86" s="43">
        <v>46142</v>
      </c>
      <c r="E86" s="42">
        <v>-0.142314</v>
      </c>
      <c r="F86" s="42">
        <v>-0.13002</v>
      </c>
    </row>
    <row r="87" spans="1:6" x14ac:dyDescent="0.25">
      <c r="A87" s="42" t="s">
        <v>72</v>
      </c>
      <c r="B87" s="42" t="s">
        <v>80</v>
      </c>
      <c r="C87" s="43">
        <v>46143</v>
      </c>
      <c r="D87" s="43">
        <v>46173</v>
      </c>
      <c r="E87" s="42">
        <v>-9.8123000000000002E-2</v>
      </c>
      <c r="F87" s="42">
        <v>-0.12378</v>
      </c>
    </row>
    <row r="88" spans="1:6" x14ac:dyDescent="0.25">
      <c r="A88" s="42" t="s">
        <v>72</v>
      </c>
      <c r="B88" s="42" t="s">
        <v>80</v>
      </c>
      <c r="C88" s="43">
        <v>46174</v>
      </c>
      <c r="D88" s="43">
        <v>46203</v>
      </c>
      <c r="E88" s="42">
        <v>-3.3445999999999997E-2</v>
      </c>
      <c r="F88" s="42">
        <v>-1.8291999999999999E-2</v>
      </c>
    </row>
    <row r="89" spans="1:6" x14ac:dyDescent="0.25">
      <c r="A89" s="42" t="s">
        <v>72</v>
      </c>
      <c r="B89" s="42" t="s">
        <v>80</v>
      </c>
      <c r="C89" s="43">
        <v>46204</v>
      </c>
      <c r="D89" s="43">
        <v>46234</v>
      </c>
      <c r="E89" s="42">
        <v>0</v>
      </c>
      <c r="F89" s="42">
        <v>0</v>
      </c>
    </row>
    <row r="90" spans="1:6" x14ac:dyDescent="0.25">
      <c r="A90" s="42" t="s">
        <v>72</v>
      </c>
      <c r="B90" s="42" t="s">
        <v>80</v>
      </c>
      <c r="C90" s="43">
        <v>46235</v>
      </c>
      <c r="D90" s="43">
        <v>46265</v>
      </c>
      <c r="E90" s="42">
        <v>0</v>
      </c>
      <c r="F90" s="42">
        <v>0</v>
      </c>
    </row>
    <row r="91" spans="1:6" x14ac:dyDescent="0.25">
      <c r="A91" s="42" t="s">
        <v>72</v>
      </c>
      <c r="B91" s="42" t="s">
        <v>80</v>
      </c>
      <c r="C91" s="43">
        <v>46266</v>
      </c>
      <c r="D91" s="43">
        <v>46295</v>
      </c>
      <c r="E91" s="42">
        <v>-3.3445999999999997E-2</v>
      </c>
      <c r="F91" s="42">
        <v>-1.8291999999999999E-2</v>
      </c>
    </row>
    <row r="92" spans="1:6" x14ac:dyDescent="0.25">
      <c r="A92" s="42" t="s">
        <v>72</v>
      </c>
      <c r="B92" s="42" t="s">
        <v>80</v>
      </c>
      <c r="C92" s="43">
        <v>46296</v>
      </c>
      <c r="D92" s="43">
        <v>46326</v>
      </c>
      <c r="E92" s="42">
        <v>-6.4283000000000007E-2</v>
      </c>
      <c r="F92" s="42">
        <v>-9.4775999999999999E-2</v>
      </c>
    </row>
    <row r="93" spans="1:6" x14ac:dyDescent="0.25">
      <c r="A93" s="42" t="s">
        <v>72</v>
      </c>
      <c r="B93" s="42" t="s">
        <v>80</v>
      </c>
      <c r="C93" s="43">
        <v>46327</v>
      </c>
      <c r="D93" s="43">
        <v>46356</v>
      </c>
      <c r="E93" s="42">
        <v>-0.15110599999999999</v>
      </c>
      <c r="F93" s="42">
        <v>-0.162138</v>
      </c>
    </row>
    <row r="94" spans="1:6" x14ac:dyDescent="0.25">
      <c r="A94" s="42" t="s">
        <v>72</v>
      </c>
      <c r="B94" s="42" t="s">
        <v>80</v>
      </c>
      <c r="C94" s="43">
        <v>46357</v>
      </c>
      <c r="D94" s="43">
        <v>46387</v>
      </c>
      <c r="E94" s="42">
        <v>-0.16864199999999999</v>
      </c>
      <c r="F94" s="42">
        <v>-0.184276</v>
      </c>
    </row>
    <row r="95" spans="1:6" x14ac:dyDescent="0.25">
      <c r="A95" s="42" t="s">
        <v>72</v>
      </c>
      <c r="B95" s="42" t="s">
        <v>80</v>
      </c>
      <c r="C95" s="43">
        <v>46388</v>
      </c>
      <c r="D95" s="43">
        <v>46418</v>
      </c>
      <c r="E95" s="42">
        <v>-0.16864199999999999</v>
      </c>
      <c r="F95" s="42">
        <v>-0.184276</v>
      </c>
    </row>
    <row r="96" spans="1:6" x14ac:dyDescent="0.25">
      <c r="A96" s="42" t="s">
        <v>72</v>
      </c>
      <c r="B96" s="42" t="s">
        <v>80</v>
      </c>
      <c r="C96" s="43">
        <v>46419</v>
      </c>
      <c r="D96" s="43">
        <v>46446</v>
      </c>
      <c r="E96" s="42">
        <v>-0.16864199999999999</v>
      </c>
      <c r="F96" s="42">
        <v>-0.184276</v>
      </c>
    </row>
    <row r="97" spans="1:6" x14ac:dyDescent="0.25">
      <c r="A97" s="42" t="s">
        <v>72</v>
      </c>
      <c r="B97" s="42" t="s">
        <v>80</v>
      </c>
      <c r="C97" s="43">
        <v>46447</v>
      </c>
      <c r="D97" s="43">
        <v>46477</v>
      </c>
      <c r="E97" s="42">
        <v>-0.16864199999999999</v>
      </c>
      <c r="F97" s="42">
        <v>-0.184276</v>
      </c>
    </row>
    <row r="98" spans="1:6" x14ac:dyDescent="0.25">
      <c r="A98" s="48" t="s">
        <v>73</v>
      </c>
      <c r="B98" s="48" t="s">
        <v>80</v>
      </c>
      <c r="C98" s="49">
        <v>46113</v>
      </c>
      <c r="D98" s="49">
        <v>46142</v>
      </c>
      <c r="E98" s="48">
        <v>-0.10865900000000001</v>
      </c>
      <c r="F98" s="48">
        <v>-9.7768999999999995E-2</v>
      </c>
    </row>
    <row r="99" spans="1:6" x14ac:dyDescent="0.25">
      <c r="A99" s="48" t="s">
        <v>73</v>
      </c>
      <c r="B99" s="48" t="s">
        <v>80</v>
      </c>
      <c r="C99" s="49">
        <v>46143</v>
      </c>
      <c r="D99" s="49">
        <v>46173</v>
      </c>
      <c r="E99" s="48">
        <v>-4.3033000000000002E-2</v>
      </c>
      <c r="F99" s="48">
        <v>-6.5367999999999996E-2</v>
      </c>
    </row>
    <row r="100" spans="1:6" x14ac:dyDescent="0.25">
      <c r="A100" s="48" t="s">
        <v>73</v>
      </c>
      <c r="B100" s="48" t="s">
        <v>80</v>
      </c>
      <c r="C100" s="49">
        <v>46174</v>
      </c>
      <c r="D100" s="49">
        <v>46203</v>
      </c>
      <c r="E100" s="48">
        <v>-1.2999E-2</v>
      </c>
      <c r="F100" s="48">
        <v>-5.1460000000000004E-3</v>
      </c>
    </row>
    <row r="101" spans="1:6" x14ac:dyDescent="0.25">
      <c r="A101" s="48" t="s">
        <v>73</v>
      </c>
      <c r="B101" s="48" t="s">
        <v>80</v>
      </c>
      <c r="C101" s="49">
        <v>46204</v>
      </c>
      <c r="D101" s="49">
        <v>46234</v>
      </c>
      <c r="E101" s="48">
        <v>0</v>
      </c>
      <c r="F101" s="48">
        <v>0</v>
      </c>
    </row>
    <row r="102" spans="1:6" x14ac:dyDescent="0.25">
      <c r="A102" s="48" t="s">
        <v>73</v>
      </c>
      <c r="B102" s="48" t="s">
        <v>80</v>
      </c>
      <c r="C102" s="49">
        <v>46235</v>
      </c>
      <c r="D102" s="49">
        <v>46265</v>
      </c>
      <c r="E102" s="48">
        <v>0</v>
      </c>
      <c r="F102" s="48">
        <v>0</v>
      </c>
    </row>
    <row r="103" spans="1:6" x14ac:dyDescent="0.25">
      <c r="A103" s="48" t="s">
        <v>73</v>
      </c>
      <c r="B103" s="48" t="s">
        <v>80</v>
      </c>
      <c r="C103" s="49">
        <v>46266</v>
      </c>
      <c r="D103" s="49">
        <v>46295</v>
      </c>
      <c r="E103" s="48">
        <v>-1.2999E-2</v>
      </c>
      <c r="F103" s="48">
        <v>-5.1460000000000004E-3</v>
      </c>
    </row>
    <row r="104" spans="1:6" x14ac:dyDescent="0.25">
      <c r="A104" s="48" t="s">
        <v>73</v>
      </c>
      <c r="B104" s="48" t="s">
        <v>80</v>
      </c>
      <c r="C104" s="49">
        <v>46296</v>
      </c>
      <c r="D104" s="49">
        <v>46326</v>
      </c>
      <c r="E104" s="48">
        <v>-2.1982000000000002E-2</v>
      </c>
      <c r="F104" s="48">
        <v>-6.7414000000000002E-2</v>
      </c>
    </row>
    <row r="105" spans="1:6" x14ac:dyDescent="0.25">
      <c r="A105" s="48" t="s">
        <v>73</v>
      </c>
      <c r="B105" s="48" t="s">
        <v>80</v>
      </c>
      <c r="C105" s="49">
        <v>46327</v>
      </c>
      <c r="D105" s="49">
        <v>46356</v>
      </c>
      <c r="E105" s="48">
        <v>-0.15090500000000001</v>
      </c>
      <c r="F105" s="48">
        <v>-0.16475699999999999</v>
      </c>
    </row>
    <row r="106" spans="1:6" x14ac:dyDescent="0.25">
      <c r="A106" s="48" t="s">
        <v>73</v>
      </c>
      <c r="B106" s="48" t="s">
        <v>80</v>
      </c>
      <c r="C106" s="49">
        <v>46357</v>
      </c>
      <c r="D106" s="49">
        <v>46387</v>
      </c>
      <c r="E106" s="48">
        <v>-0.15090500000000001</v>
      </c>
      <c r="F106" s="48">
        <v>-0.16943900000000001</v>
      </c>
    </row>
    <row r="107" spans="1:6" x14ac:dyDescent="0.25">
      <c r="A107" s="48" t="s">
        <v>73</v>
      </c>
      <c r="B107" s="48" t="s">
        <v>80</v>
      </c>
      <c r="C107" s="49">
        <v>46388</v>
      </c>
      <c r="D107" s="49">
        <v>46418</v>
      </c>
      <c r="E107" s="48">
        <v>-0.15090500000000001</v>
      </c>
      <c r="F107" s="48">
        <v>-0.16943900000000001</v>
      </c>
    </row>
    <row r="108" spans="1:6" x14ac:dyDescent="0.25">
      <c r="A108" s="48" t="s">
        <v>73</v>
      </c>
      <c r="B108" s="48" t="s">
        <v>80</v>
      </c>
      <c r="C108" s="49">
        <v>46419</v>
      </c>
      <c r="D108" s="49">
        <v>46446</v>
      </c>
      <c r="E108" s="48">
        <v>-0.15090500000000001</v>
      </c>
      <c r="F108" s="48">
        <v>-0.16943900000000001</v>
      </c>
    </row>
    <row r="109" spans="1:6" x14ac:dyDescent="0.25">
      <c r="A109" s="48" t="s">
        <v>73</v>
      </c>
      <c r="B109" s="48" t="s">
        <v>80</v>
      </c>
      <c r="C109" s="49">
        <v>46447</v>
      </c>
      <c r="D109" s="49">
        <v>46477</v>
      </c>
      <c r="E109" s="48">
        <v>-0.15090500000000001</v>
      </c>
      <c r="F109" s="48">
        <v>-0.16943900000000001</v>
      </c>
    </row>
  </sheetData>
  <phoneticPr fontId="0" type="noConversion"/>
  <pageMargins left="0.78740157499999996" right="0.78740157499999996" top="0.984251969" bottom="0.984251969" header="0.4921259845" footer="0.492125984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0"/>
  <sheetViews>
    <sheetView tabSelected="1" zoomScaleNormal="100" workbookViewId="0"/>
  </sheetViews>
  <sheetFormatPr baseColWidth="10" defaultColWidth="11.453125" defaultRowHeight="12.5" x14ac:dyDescent="0.25"/>
  <cols>
    <col min="1" max="1" width="15" style="6" customWidth="1"/>
    <col min="2" max="2" width="25.54296875" style="5" customWidth="1"/>
    <col min="3" max="3" width="10.453125" style="6" bestFit="1" customWidth="1"/>
    <col min="4" max="4" width="13.54296875" style="6" bestFit="1" customWidth="1"/>
    <col min="5" max="5" width="11.54296875" style="25" bestFit="1" customWidth="1"/>
    <col min="6" max="6" width="10.453125" style="6" bestFit="1" customWidth="1"/>
    <col min="7" max="16384" width="11.453125" style="29"/>
  </cols>
  <sheetData>
    <row r="1" spans="1:6" ht="26" x14ac:dyDescent="0.25">
      <c r="A1" s="35" t="s">
        <v>81</v>
      </c>
      <c r="B1" s="35" t="s">
        <v>82</v>
      </c>
      <c r="C1" s="35" t="s">
        <v>83</v>
      </c>
      <c r="D1" s="35" t="s">
        <v>84</v>
      </c>
      <c r="E1" s="38" t="s">
        <v>85</v>
      </c>
      <c r="F1" s="35" t="s">
        <v>75</v>
      </c>
    </row>
    <row r="2" spans="1:6" ht="13" x14ac:dyDescent="0.25">
      <c r="A2" s="55" t="s">
        <v>86</v>
      </c>
      <c r="B2" s="51" t="s">
        <v>87</v>
      </c>
      <c r="C2" s="39">
        <v>17.5</v>
      </c>
      <c r="D2" s="39">
        <v>1.3</v>
      </c>
      <c r="E2" s="40">
        <v>7.2</v>
      </c>
      <c r="F2" s="33" t="s">
        <v>88</v>
      </c>
    </row>
    <row r="3" spans="1:6" ht="13" x14ac:dyDescent="0.25">
      <c r="A3" s="51">
        <v>13054001</v>
      </c>
      <c r="B3" s="51" t="s">
        <v>89</v>
      </c>
      <c r="C3" s="39">
        <v>18</v>
      </c>
      <c r="D3" s="39">
        <v>-4.8</v>
      </c>
      <c r="E3" s="40">
        <v>5.6</v>
      </c>
      <c r="F3" s="33" t="s">
        <v>88</v>
      </c>
    </row>
    <row r="4" spans="1:6" ht="13" x14ac:dyDescent="0.25">
      <c r="A4" s="51">
        <v>16089001</v>
      </c>
      <c r="B4" s="51" t="s">
        <v>90</v>
      </c>
      <c r="C4" s="39">
        <v>17</v>
      </c>
      <c r="D4" s="39">
        <v>-6.7</v>
      </c>
      <c r="E4" s="40">
        <v>3.7</v>
      </c>
      <c r="F4" s="33" t="s">
        <v>91</v>
      </c>
    </row>
    <row r="5" spans="1:6" ht="13" x14ac:dyDescent="0.25">
      <c r="A5" s="51">
        <v>18033001</v>
      </c>
      <c r="B5" s="51" t="s">
        <v>92</v>
      </c>
      <c r="C5" s="39">
        <v>15.5</v>
      </c>
      <c r="D5" s="39">
        <v>-9.1999999999999993</v>
      </c>
      <c r="E5" s="40">
        <v>2</v>
      </c>
      <c r="F5" s="33" t="s">
        <v>91</v>
      </c>
    </row>
    <row r="6" spans="1:6" ht="13" x14ac:dyDescent="0.25">
      <c r="A6" s="51">
        <v>21473001</v>
      </c>
      <c r="B6" s="51" t="s">
        <v>93</v>
      </c>
      <c r="C6" s="39">
        <v>16</v>
      </c>
      <c r="D6" s="39">
        <v>-10.8</v>
      </c>
      <c r="E6" s="40">
        <v>0.5</v>
      </c>
      <c r="F6" s="33" t="s">
        <v>94</v>
      </c>
    </row>
    <row r="7" spans="1:6" ht="13" x14ac:dyDescent="0.25">
      <c r="A7" s="51">
        <v>25056001</v>
      </c>
      <c r="B7" s="51" t="s">
        <v>95</v>
      </c>
      <c r="C7" s="39">
        <v>15.5</v>
      </c>
      <c r="D7" s="39">
        <v>-11.2</v>
      </c>
      <c r="E7" s="40">
        <v>0.2</v>
      </c>
      <c r="F7" s="33" t="s">
        <v>94</v>
      </c>
    </row>
    <row r="8" spans="1:6" ht="13" x14ac:dyDescent="0.25">
      <c r="A8" s="51">
        <v>26198001</v>
      </c>
      <c r="B8" s="51" t="s">
        <v>96</v>
      </c>
      <c r="C8" s="39">
        <v>16.5</v>
      </c>
      <c r="D8" s="39">
        <v>-7.3</v>
      </c>
      <c r="E8" s="40">
        <v>4.0999999999999996</v>
      </c>
      <c r="F8" s="33" t="s">
        <v>91</v>
      </c>
    </row>
    <row r="9" spans="1:6" ht="13" x14ac:dyDescent="0.25">
      <c r="A9" s="39">
        <v>28070001</v>
      </c>
      <c r="B9" s="39" t="s">
        <v>97</v>
      </c>
      <c r="C9" s="39">
        <v>15</v>
      </c>
      <c r="D9" s="39">
        <v>-10.1</v>
      </c>
      <c r="E9" s="40">
        <v>0.4</v>
      </c>
      <c r="F9" s="33" t="s">
        <v>94</v>
      </c>
    </row>
    <row r="10" spans="1:6" ht="13" x14ac:dyDescent="0.25">
      <c r="A10" s="51">
        <v>29075001</v>
      </c>
      <c r="B10" s="51" t="s">
        <v>98</v>
      </c>
      <c r="C10" s="39">
        <v>14.5</v>
      </c>
      <c r="D10" s="39">
        <v>-2.9</v>
      </c>
      <c r="E10" s="40">
        <v>2.2999999999999998</v>
      </c>
      <c r="F10" s="33" t="s">
        <v>91</v>
      </c>
    </row>
    <row r="11" spans="1:6" ht="13" x14ac:dyDescent="0.25">
      <c r="A11" s="51">
        <v>30189001</v>
      </c>
      <c r="B11" s="51" t="s">
        <v>99</v>
      </c>
      <c r="C11" s="39">
        <v>17</v>
      </c>
      <c r="D11" s="39">
        <v>-5.4</v>
      </c>
      <c r="E11" s="40">
        <v>4.9000000000000004</v>
      </c>
      <c r="F11" s="33" t="s">
        <v>88</v>
      </c>
    </row>
    <row r="12" spans="1:6" ht="13" x14ac:dyDescent="0.25">
      <c r="A12" s="51">
        <v>31069001</v>
      </c>
      <c r="B12" s="51" t="s">
        <v>100</v>
      </c>
      <c r="C12" s="39">
        <v>16.5</v>
      </c>
      <c r="D12" s="39">
        <v>-7.6</v>
      </c>
      <c r="E12" s="40">
        <v>4</v>
      </c>
      <c r="F12" s="33" t="s">
        <v>91</v>
      </c>
    </row>
    <row r="13" spans="1:6" ht="13" x14ac:dyDescent="0.25">
      <c r="A13" s="51">
        <v>33281001</v>
      </c>
      <c r="B13" s="51" t="s">
        <v>101</v>
      </c>
      <c r="C13" s="39">
        <v>16.5</v>
      </c>
      <c r="D13" s="39">
        <v>-6.4</v>
      </c>
      <c r="E13" s="40">
        <v>4.4000000000000004</v>
      </c>
      <c r="F13" s="33" t="s">
        <v>91</v>
      </c>
    </row>
    <row r="14" spans="1:6" ht="13" x14ac:dyDescent="0.25">
      <c r="A14" s="51">
        <v>35228001</v>
      </c>
      <c r="B14" s="51" t="s">
        <v>102</v>
      </c>
      <c r="C14" s="39">
        <v>15.5</v>
      </c>
      <c r="D14" s="39">
        <v>-6</v>
      </c>
      <c r="E14" s="40">
        <v>2.1</v>
      </c>
      <c r="F14" s="33" t="s">
        <v>91</v>
      </c>
    </row>
    <row r="15" spans="1:6" ht="13" x14ac:dyDescent="0.25">
      <c r="A15" s="51">
        <v>37179001</v>
      </c>
      <c r="B15" s="51" t="s">
        <v>103</v>
      </c>
      <c r="C15" s="39">
        <v>15.5</v>
      </c>
      <c r="D15" s="39">
        <v>-8.6</v>
      </c>
      <c r="E15" s="40">
        <v>2.2999999999999998</v>
      </c>
      <c r="F15" s="33" t="s">
        <v>91</v>
      </c>
    </row>
    <row r="16" spans="1:6" ht="13" x14ac:dyDescent="0.25">
      <c r="A16" s="51">
        <v>38384001</v>
      </c>
      <c r="B16" s="51" t="s">
        <v>104</v>
      </c>
      <c r="C16" s="39">
        <v>16</v>
      </c>
      <c r="D16" s="39">
        <v>-13.3</v>
      </c>
      <c r="E16" s="40">
        <v>0.6</v>
      </c>
      <c r="F16" s="33" t="s">
        <v>94</v>
      </c>
    </row>
    <row r="17" spans="1:6" ht="13" x14ac:dyDescent="0.25">
      <c r="A17" s="51">
        <v>42005001</v>
      </c>
      <c r="B17" s="51" t="s">
        <v>105</v>
      </c>
      <c r="C17" s="39">
        <v>16.5</v>
      </c>
      <c r="D17" s="39">
        <v>-14.7</v>
      </c>
      <c r="E17" s="40">
        <v>0.5</v>
      </c>
      <c r="F17" s="33" t="s">
        <v>94</v>
      </c>
    </row>
    <row r="18" spans="1:6" ht="13" x14ac:dyDescent="0.25">
      <c r="A18" s="51">
        <v>44020001</v>
      </c>
      <c r="B18" s="51" t="s">
        <v>106</v>
      </c>
      <c r="C18" s="39">
        <v>15.5</v>
      </c>
      <c r="D18" s="39">
        <v>-6.6</v>
      </c>
      <c r="E18" s="40">
        <v>3.1</v>
      </c>
      <c r="F18" s="33" t="s">
        <v>91</v>
      </c>
    </row>
    <row r="19" spans="1:6" ht="13" x14ac:dyDescent="0.25">
      <c r="A19" s="51">
        <v>47091001</v>
      </c>
      <c r="B19" s="51" t="s">
        <v>107</v>
      </c>
      <c r="C19" s="39">
        <v>16.5</v>
      </c>
      <c r="D19" s="39">
        <v>-9.3000000000000007</v>
      </c>
      <c r="E19" s="40">
        <v>3.5</v>
      </c>
      <c r="F19" s="33" t="s">
        <v>91</v>
      </c>
    </row>
    <row r="20" spans="1:6" ht="13" x14ac:dyDescent="0.25">
      <c r="A20" s="51">
        <v>51449002</v>
      </c>
      <c r="B20" s="51" t="s">
        <v>108</v>
      </c>
      <c r="C20" s="39">
        <v>15.5</v>
      </c>
      <c r="D20" s="39">
        <v>-11.4</v>
      </c>
      <c r="E20" s="40">
        <v>-0.1</v>
      </c>
      <c r="F20" s="33" t="s">
        <v>94</v>
      </c>
    </row>
    <row r="21" spans="1:6" ht="13" x14ac:dyDescent="0.25">
      <c r="A21" s="51">
        <v>57039001</v>
      </c>
      <c r="B21" s="51" t="s">
        <v>109</v>
      </c>
      <c r="C21" s="39">
        <v>16</v>
      </c>
      <c r="D21" s="39">
        <v>-9.8000000000000007</v>
      </c>
      <c r="E21" s="40">
        <v>-0.5</v>
      </c>
      <c r="F21" s="33" t="s">
        <v>94</v>
      </c>
    </row>
    <row r="22" spans="1:6" ht="13" x14ac:dyDescent="0.25">
      <c r="A22" s="51">
        <v>59343001</v>
      </c>
      <c r="B22" s="51" t="s">
        <v>110</v>
      </c>
      <c r="C22" s="39">
        <v>15.5</v>
      </c>
      <c r="D22" s="39">
        <v>-9.4</v>
      </c>
      <c r="E22" s="40">
        <v>0.9</v>
      </c>
      <c r="F22" s="33" t="s">
        <v>94</v>
      </c>
    </row>
    <row r="23" spans="1:6" ht="13" x14ac:dyDescent="0.25">
      <c r="A23" s="51">
        <v>63113001</v>
      </c>
      <c r="B23" s="51" t="s">
        <v>111</v>
      </c>
      <c r="C23" s="39">
        <v>16</v>
      </c>
      <c r="D23" s="39">
        <v>-12.1</v>
      </c>
      <c r="E23" s="40">
        <v>0.7</v>
      </c>
      <c r="F23" s="33" t="s">
        <v>94</v>
      </c>
    </row>
    <row r="24" spans="1:6" ht="13" x14ac:dyDescent="0.25">
      <c r="A24" s="51">
        <v>64024001</v>
      </c>
      <c r="B24" s="51" t="s">
        <v>112</v>
      </c>
      <c r="C24" s="39">
        <v>17</v>
      </c>
      <c r="D24" s="39">
        <v>-3.7</v>
      </c>
      <c r="E24" s="40">
        <v>4.8</v>
      </c>
      <c r="F24" s="33" t="s">
        <v>91</v>
      </c>
    </row>
    <row r="25" spans="1:6" ht="13" x14ac:dyDescent="0.25">
      <c r="A25" s="51">
        <v>64549001</v>
      </c>
      <c r="B25" s="51" t="s">
        <v>113</v>
      </c>
      <c r="C25" s="39">
        <v>16.5</v>
      </c>
      <c r="D25" s="39">
        <v>-6</v>
      </c>
      <c r="E25" s="40">
        <v>3.1</v>
      </c>
      <c r="F25" s="33" t="s">
        <v>91</v>
      </c>
    </row>
    <row r="26" spans="1:6" ht="13" x14ac:dyDescent="0.25">
      <c r="A26" s="51">
        <v>66136001</v>
      </c>
      <c r="B26" s="51" t="s">
        <v>114</v>
      </c>
      <c r="C26" s="39">
        <v>17</v>
      </c>
      <c r="D26" s="39">
        <v>-2</v>
      </c>
      <c r="E26" s="40">
        <v>5.2</v>
      </c>
      <c r="F26" s="33" t="s">
        <v>88</v>
      </c>
    </row>
    <row r="27" spans="1:6" ht="13" x14ac:dyDescent="0.25">
      <c r="A27" s="51">
        <v>67124001</v>
      </c>
      <c r="B27" s="51" t="s">
        <v>115</v>
      </c>
      <c r="C27" s="39">
        <v>16</v>
      </c>
      <c r="D27" s="39">
        <v>-11.6</v>
      </c>
      <c r="E27" s="40">
        <v>-1.1000000000000001</v>
      </c>
      <c r="F27" s="33" t="s">
        <v>94</v>
      </c>
    </row>
    <row r="28" spans="1:6" ht="13" x14ac:dyDescent="0.25">
      <c r="A28" s="51">
        <v>68205001</v>
      </c>
      <c r="B28" s="39" t="s">
        <v>116</v>
      </c>
      <c r="C28" s="39">
        <v>15.5</v>
      </c>
      <c r="D28" s="39">
        <v>-11.3</v>
      </c>
      <c r="E28" s="40">
        <v>-0.9</v>
      </c>
      <c r="F28" s="33" t="s">
        <v>94</v>
      </c>
    </row>
    <row r="29" spans="1:6" ht="13" x14ac:dyDescent="0.25">
      <c r="A29" s="51">
        <v>68297001</v>
      </c>
      <c r="B29" s="51" t="s">
        <v>117</v>
      </c>
      <c r="C29" s="39">
        <v>16</v>
      </c>
      <c r="D29" s="39">
        <v>-14</v>
      </c>
      <c r="E29" s="40">
        <v>-1.1000000000000001</v>
      </c>
      <c r="F29" s="33" t="s">
        <v>94</v>
      </c>
    </row>
    <row r="30" spans="1:6" ht="13" x14ac:dyDescent="0.25">
      <c r="A30" s="51">
        <v>69029001</v>
      </c>
      <c r="B30" s="51" t="s">
        <v>118</v>
      </c>
      <c r="C30" s="39">
        <v>16.5</v>
      </c>
      <c r="D30" s="39">
        <v>-11.5</v>
      </c>
      <c r="E30" s="40">
        <v>2.2999999999999998</v>
      </c>
      <c r="F30" s="33" t="s">
        <v>94</v>
      </c>
    </row>
    <row r="31" spans="1:6" ht="13" x14ac:dyDescent="0.25">
      <c r="A31" s="51">
        <v>70473001</v>
      </c>
      <c r="B31" s="51" t="s">
        <v>119</v>
      </c>
      <c r="C31" s="39">
        <v>15.5</v>
      </c>
      <c r="D31" s="39">
        <v>-13</v>
      </c>
      <c r="E31" s="40">
        <v>-0.4</v>
      </c>
      <c r="F31" s="33" t="s">
        <v>94</v>
      </c>
    </row>
    <row r="32" spans="1:6" ht="13" x14ac:dyDescent="0.25">
      <c r="A32" s="51">
        <v>73329001</v>
      </c>
      <c r="B32" s="51" t="s">
        <v>120</v>
      </c>
      <c r="C32" s="39">
        <v>16</v>
      </c>
      <c r="D32" s="39">
        <v>-8.4</v>
      </c>
      <c r="E32" s="40">
        <v>1.7</v>
      </c>
      <c r="F32" s="33" t="s">
        <v>94</v>
      </c>
    </row>
    <row r="33" spans="1:6" ht="13" x14ac:dyDescent="0.25">
      <c r="A33" s="39">
        <v>74042003</v>
      </c>
      <c r="B33" s="39" t="s">
        <v>121</v>
      </c>
      <c r="C33" s="39">
        <v>16</v>
      </c>
      <c r="D33" s="39">
        <v>-11</v>
      </c>
      <c r="E33" s="40">
        <v>-0.7</v>
      </c>
      <c r="F33" s="33" t="s">
        <v>94</v>
      </c>
    </row>
    <row r="34" spans="1:6" ht="13" x14ac:dyDescent="0.25">
      <c r="A34" s="51">
        <v>75114001</v>
      </c>
      <c r="B34" s="51" t="s">
        <v>122</v>
      </c>
      <c r="C34" s="39">
        <v>17</v>
      </c>
      <c r="D34" s="39">
        <v>-8.4</v>
      </c>
      <c r="E34" s="40">
        <v>1.8</v>
      </c>
      <c r="F34" s="33" t="s">
        <v>94</v>
      </c>
    </row>
    <row r="35" spans="1:6" ht="13" x14ac:dyDescent="0.25">
      <c r="A35" s="51">
        <v>76116001</v>
      </c>
      <c r="B35" s="51" t="s">
        <v>123</v>
      </c>
      <c r="C35" s="39">
        <v>15.5</v>
      </c>
      <c r="D35" s="39">
        <v>-8.4</v>
      </c>
      <c r="E35" s="40">
        <v>0.5</v>
      </c>
      <c r="F35" s="33" t="s">
        <v>94</v>
      </c>
    </row>
    <row r="36" spans="1:6" ht="13" x14ac:dyDescent="0.25">
      <c r="A36" s="51">
        <v>89295001</v>
      </c>
      <c r="B36" s="51" t="s">
        <v>124</v>
      </c>
      <c r="C36" s="39">
        <v>15.5</v>
      </c>
      <c r="D36" s="39">
        <v>-11.1</v>
      </c>
      <c r="E36" s="40">
        <v>0.7</v>
      </c>
      <c r="F36" s="33" t="s">
        <v>94</v>
      </c>
    </row>
    <row r="38" spans="1:6" s="23" customFormat="1" x14ac:dyDescent="0.25">
      <c r="A38" s="25" t="s">
        <v>125</v>
      </c>
      <c r="B38" s="53"/>
      <c r="C38" s="6"/>
      <c r="D38" s="6"/>
      <c r="E38" s="25"/>
      <c r="F38" s="6"/>
    </row>
    <row r="39" spans="1:6" s="23" customFormat="1" x14ac:dyDescent="0.25">
      <c r="A39" s="25" t="s">
        <v>126</v>
      </c>
      <c r="B39" s="53"/>
      <c r="C39" s="6"/>
      <c r="D39" s="6"/>
      <c r="E39" s="25"/>
      <c r="F39" s="6"/>
    </row>
    <row r="40" spans="1:6" s="23" customFormat="1" x14ac:dyDescent="0.25">
      <c r="A40" s="25" t="s">
        <v>127</v>
      </c>
      <c r="B40" s="53"/>
      <c r="C40" s="6"/>
      <c r="D40" s="6"/>
      <c r="E40" s="25"/>
      <c r="F40"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66"/>
  <sheetViews>
    <sheetView zoomScaleNormal="100" workbookViewId="0">
      <pane ySplit="1" topLeftCell="A239" activePane="bottomLeft" state="frozen"/>
      <selection pane="bottomLeft" activeCell="C277" sqref="C277"/>
    </sheetView>
  </sheetViews>
  <sheetFormatPr baseColWidth="10" defaultColWidth="11.453125" defaultRowHeight="12.5" x14ac:dyDescent="0.25"/>
  <cols>
    <col min="1" max="3" width="15.54296875" style="31" customWidth="1"/>
    <col min="4" max="16384" width="11.453125" style="29"/>
  </cols>
  <sheetData>
    <row r="1" spans="1:3" ht="26.25" customHeight="1" x14ac:dyDescent="0.25">
      <c r="A1" s="35" t="s">
        <v>128</v>
      </c>
      <c r="B1" s="35" t="s">
        <v>62</v>
      </c>
      <c r="C1" s="35" t="s">
        <v>129</v>
      </c>
    </row>
    <row r="2" spans="1:3" x14ac:dyDescent="0.25">
      <c r="A2" s="37">
        <v>1</v>
      </c>
      <c r="B2" s="37">
        <v>4</v>
      </c>
      <c r="C2" s="37">
        <v>10.49</v>
      </c>
    </row>
    <row r="3" spans="1:3" x14ac:dyDescent="0.25">
      <c r="A3" s="37">
        <v>2</v>
      </c>
      <c r="B3" s="37">
        <v>4</v>
      </c>
      <c r="C3" s="37">
        <v>10.61</v>
      </c>
    </row>
    <row r="4" spans="1:3" x14ac:dyDescent="0.25">
      <c r="A4" s="37">
        <v>3</v>
      </c>
      <c r="B4" s="37">
        <v>4</v>
      </c>
      <c r="C4" s="37">
        <v>10.74</v>
      </c>
    </row>
    <row r="5" spans="1:3" x14ac:dyDescent="0.25">
      <c r="A5" s="37">
        <v>4</v>
      </c>
      <c r="B5" s="37">
        <v>4</v>
      </c>
      <c r="C5" s="37">
        <v>10.86</v>
      </c>
    </row>
    <row r="6" spans="1:3" x14ac:dyDescent="0.25">
      <c r="A6" s="37">
        <v>5</v>
      </c>
      <c r="B6" s="37">
        <v>4</v>
      </c>
      <c r="C6" s="37">
        <v>10.98</v>
      </c>
    </row>
    <row r="7" spans="1:3" x14ac:dyDescent="0.25">
      <c r="A7" s="37">
        <v>6</v>
      </c>
      <c r="B7" s="37">
        <v>4</v>
      </c>
      <c r="C7" s="37">
        <v>11.1</v>
      </c>
    </row>
    <row r="8" spans="1:3" x14ac:dyDescent="0.25">
      <c r="A8" s="37">
        <v>7</v>
      </c>
      <c r="B8" s="37">
        <v>4</v>
      </c>
      <c r="C8" s="37">
        <v>11.22</v>
      </c>
    </row>
    <row r="9" spans="1:3" x14ac:dyDescent="0.25">
      <c r="A9" s="37">
        <v>8</v>
      </c>
      <c r="B9" s="37">
        <v>4</v>
      </c>
      <c r="C9" s="37">
        <v>11.35</v>
      </c>
    </row>
    <row r="10" spans="1:3" x14ac:dyDescent="0.25">
      <c r="A10" s="37">
        <v>9</v>
      </c>
      <c r="B10" s="37">
        <v>4</v>
      </c>
      <c r="C10" s="37">
        <v>11.46</v>
      </c>
    </row>
    <row r="11" spans="1:3" x14ac:dyDescent="0.25">
      <c r="A11" s="37">
        <v>10</v>
      </c>
      <c r="B11" s="37">
        <v>4</v>
      </c>
      <c r="C11" s="37">
        <v>11.58</v>
      </c>
    </row>
    <row r="12" spans="1:3" x14ac:dyDescent="0.25">
      <c r="A12" s="37">
        <v>11</v>
      </c>
      <c r="B12" s="37">
        <v>4</v>
      </c>
      <c r="C12" s="37">
        <v>11.7</v>
      </c>
    </row>
    <row r="13" spans="1:3" x14ac:dyDescent="0.25">
      <c r="A13" s="37">
        <v>12</v>
      </c>
      <c r="B13" s="37">
        <v>4</v>
      </c>
      <c r="C13" s="37">
        <v>11.81</v>
      </c>
    </row>
    <row r="14" spans="1:3" x14ac:dyDescent="0.25">
      <c r="A14" s="37">
        <v>13</v>
      </c>
      <c r="B14" s="37">
        <v>4</v>
      </c>
      <c r="C14" s="37">
        <v>11.92</v>
      </c>
    </row>
    <row r="15" spans="1:3" x14ac:dyDescent="0.25">
      <c r="A15" s="37">
        <v>14</v>
      </c>
      <c r="B15" s="37">
        <v>4</v>
      </c>
      <c r="C15" s="37">
        <v>12.05</v>
      </c>
    </row>
    <row r="16" spans="1:3" x14ac:dyDescent="0.25">
      <c r="A16" s="37">
        <v>15</v>
      </c>
      <c r="B16" s="37">
        <v>4</v>
      </c>
      <c r="C16" s="37">
        <v>12.16</v>
      </c>
    </row>
    <row r="17" spans="1:3" x14ac:dyDescent="0.25">
      <c r="A17" s="37">
        <v>16</v>
      </c>
      <c r="B17" s="37">
        <v>4</v>
      </c>
      <c r="C17" s="37">
        <v>12.27</v>
      </c>
    </row>
    <row r="18" spans="1:3" x14ac:dyDescent="0.25">
      <c r="A18" s="37">
        <v>17</v>
      </c>
      <c r="B18" s="37">
        <v>4</v>
      </c>
      <c r="C18" s="37">
        <v>12.37</v>
      </c>
    </row>
    <row r="19" spans="1:3" x14ac:dyDescent="0.25">
      <c r="A19" s="37">
        <v>18</v>
      </c>
      <c r="B19" s="37">
        <v>4</v>
      </c>
      <c r="C19" s="37">
        <v>12.49</v>
      </c>
    </row>
    <row r="20" spans="1:3" x14ac:dyDescent="0.25">
      <c r="A20" s="37">
        <v>19</v>
      </c>
      <c r="B20" s="37">
        <v>4</v>
      </c>
      <c r="C20" s="37">
        <v>12.6</v>
      </c>
    </row>
    <row r="21" spans="1:3" x14ac:dyDescent="0.25">
      <c r="A21" s="37">
        <v>20</v>
      </c>
      <c r="B21" s="37">
        <v>4</v>
      </c>
      <c r="C21" s="37">
        <v>12.71</v>
      </c>
    </row>
    <row r="22" spans="1:3" x14ac:dyDescent="0.25">
      <c r="A22" s="37">
        <v>21</v>
      </c>
      <c r="B22" s="37">
        <v>4</v>
      </c>
      <c r="C22" s="37">
        <v>12.82</v>
      </c>
    </row>
    <row r="23" spans="1:3" x14ac:dyDescent="0.25">
      <c r="A23" s="37">
        <v>22</v>
      </c>
      <c r="B23" s="37">
        <v>4</v>
      </c>
      <c r="C23" s="37">
        <v>12.92</v>
      </c>
    </row>
    <row r="24" spans="1:3" x14ac:dyDescent="0.25">
      <c r="A24" s="37">
        <v>23</v>
      </c>
      <c r="B24" s="37">
        <v>4</v>
      </c>
      <c r="C24" s="37">
        <v>13.03</v>
      </c>
    </row>
    <row r="25" spans="1:3" x14ac:dyDescent="0.25">
      <c r="A25" s="37">
        <v>24</v>
      </c>
      <c r="B25" s="37">
        <v>4</v>
      </c>
      <c r="C25" s="37">
        <v>13.14</v>
      </c>
    </row>
    <row r="26" spans="1:3" x14ac:dyDescent="0.25">
      <c r="A26" s="37">
        <v>25</v>
      </c>
      <c r="B26" s="37">
        <v>4</v>
      </c>
      <c r="C26" s="37">
        <v>13.25</v>
      </c>
    </row>
    <row r="27" spans="1:3" x14ac:dyDescent="0.25">
      <c r="A27" s="37">
        <v>26</v>
      </c>
      <c r="B27" s="37">
        <v>4</v>
      </c>
      <c r="C27" s="37">
        <v>13.35</v>
      </c>
    </row>
    <row r="28" spans="1:3" x14ac:dyDescent="0.25">
      <c r="A28" s="37">
        <v>27</v>
      </c>
      <c r="B28" s="37">
        <v>4</v>
      </c>
      <c r="C28" s="37">
        <v>13.46</v>
      </c>
    </row>
    <row r="29" spans="1:3" x14ac:dyDescent="0.25">
      <c r="A29" s="37">
        <v>28</v>
      </c>
      <c r="B29" s="37">
        <v>4</v>
      </c>
      <c r="C29" s="37">
        <v>13.56</v>
      </c>
    </row>
    <row r="30" spans="1:3" x14ac:dyDescent="0.25">
      <c r="A30" s="37">
        <v>29</v>
      </c>
      <c r="B30" s="37">
        <v>4</v>
      </c>
      <c r="C30" s="37">
        <v>13.66</v>
      </c>
    </row>
    <row r="31" spans="1:3" x14ac:dyDescent="0.25">
      <c r="A31" s="37">
        <v>30</v>
      </c>
      <c r="B31" s="37">
        <v>4</v>
      </c>
      <c r="C31" s="37">
        <v>13.77</v>
      </c>
    </row>
    <row r="32" spans="1:3" x14ac:dyDescent="0.25">
      <c r="A32" s="37">
        <v>1</v>
      </c>
      <c r="B32" s="37">
        <v>5</v>
      </c>
      <c r="C32" s="37">
        <v>13.87</v>
      </c>
    </row>
    <row r="33" spans="1:3" x14ac:dyDescent="0.25">
      <c r="A33" s="37">
        <v>2</v>
      </c>
      <c r="B33" s="37">
        <v>5</v>
      </c>
      <c r="C33" s="37">
        <v>13.98</v>
      </c>
    </row>
    <row r="34" spans="1:3" x14ac:dyDescent="0.25">
      <c r="A34" s="37">
        <v>3</v>
      </c>
      <c r="B34" s="37">
        <v>5</v>
      </c>
      <c r="C34" s="37">
        <v>14.09</v>
      </c>
    </row>
    <row r="35" spans="1:3" x14ac:dyDescent="0.25">
      <c r="A35" s="37">
        <v>4</v>
      </c>
      <c r="B35" s="37">
        <v>5</v>
      </c>
      <c r="C35" s="37">
        <v>14.19</v>
      </c>
    </row>
    <row r="36" spans="1:3" x14ac:dyDescent="0.25">
      <c r="A36" s="37">
        <v>5</v>
      </c>
      <c r="B36" s="37">
        <v>5</v>
      </c>
      <c r="C36" s="37">
        <v>14.3</v>
      </c>
    </row>
    <row r="37" spans="1:3" x14ac:dyDescent="0.25">
      <c r="A37" s="37">
        <v>6</v>
      </c>
      <c r="B37" s="37">
        <v>5</v>
      </c>
      <c r="C37" s="37">
        <v>14.4</v>
      </c>
    </row>
    <row r="38" spans="1:3" x14ac:dyDescent="0.25">
      <c r="A38" s="37">
        <v>7</v>
      </c>
      <c r="B38" s="37">
        <v>5</v>
      </c>
      <c r="C38" s="37">
        <v>14.5</v>
      </c>
    </row>
    <row r="39" spans="1:3" x14ac:dyDescent="0.25">
      <c r="A39" s="37">
        <v>8</v>
      </c>
      <c r="B39" s="37">
        <v>5</v>
      </c>
      <c r="C39" s="37">
        <v>14.61</v>
      </c>
    </row>
    <row r="40" spans="1:3" x14ac:dyDescent="0.25">
      <c r="A40" s="37">
        <v>9</v>
      </c>
      <c r="B40" s="37">
        <v>5</v>
      </c>
      <c r="C40" s="37">
        <v>14.71</v>
      </c>
    </row>
    <row r="41" spans="1:3" x14ac:dyDescent="0.25">
      <c r="A41" s="37">
        <v>10</v>
      </c>
      <c r="B41" s="37">
        <v>5</v>
      </c>
      <c r="C41" s="37">
        <v>14.82</v>
      </c>
    </row>
    <row r="42" spans="1:3" x14ac:dyDescent="0.25">
      <c r="A42" s="37">
        <v>11</v>
      </c>
      <c r="B42" s="37">
        <v>5</v>
      </c>
      <c r="C42" s="37">
        <v>14.93</v>
      </c>
    </row>
    <row r="43" spans="1:3" x14ac:dyDescent="0.25">
      <c r="A43" s="37">
        <v>12</v>
      </c>
      <c r="B43" s="37">
        <v>5</v>
      </c>
      <c r="C43" s="37">
        <v>15.04</v>
      </c>
    </row>
    <row r="44" spans="1:3" x14ac:dyDescent="0.25">
      <c r="A44" s="37">
        <v>13</v>
      </c>
      <c r="B44" s="37">
        <v>5</v>
      </c>
      <c r="C44" s="37">
        <v>15.14</v>
      </c>
    </row>
    <row r="45" spans="1:3" x14ac:dyDescent="0.25">
      <c r="A45" s="37">
        <v>14</v>
      </c>
      <c r="B45" s="37">
        <v>5</v>
      </c>
      <c r="C45" s="37">
        <v>15.25</v>
      </c>
    </row>
    <row r="46" spans="1:3" x14ac:dyDescent="0.25">
      <c r="A46" s="37">
        <v>15</v>
      </c>
      <c r="B46" s="37">
        <v>5</v>
      </c>
      <c r="C46" s="37">
        <v>15.36</v>
      </c>
    </row>
    <row r="47" spans="1:3" x14ac:dyDescent="0.25">
      <c r="A47" s="37">
        <v>16</v>
      </c>
      <c r="B47" s="37">
        <v>5</v>
      </c>
      <c r="C47" s="37">
        <v>15.47</v>
      </c>
    </row>
    <row r="48" spans="1:3" x14ac:dyDescent="0.25">
      <c r="A48" s="37">
        <v>17</v>
      </c>
      <c r="B48" s="37">
        <v>5</v>
      </c>
      <c r="C48" s="37">
        <v>15.58</v>
      </c>
    </row>
    <row r="49" spans="1:3" x14ac:dyDescent="0.25">
      <c r="A49" s="37">
        <v>18</v>
      </c>
      <c r="B49" s="37">
        <v>5</v>
      </c>
      <c r="C49" s="37">
        <v>15.7</v>
      </c>
    </row>
    <row r="50" spans="1:3" x14ac:dyDescent="0.25">
      <c r="A50" s="37">
        <v>19</v>
      </c>
      <c r="B50" s="37">
        <v>5</v>
      </c>
      <c r="C50" s="37">
        <v>15.81</v>
      </c>
    </row>
    <row r="51" spans="1:3" x14ac:dyDescent="0.25">
      <c r="A51" s="37">
        <v>20</v>
      </c>
      <c r="B51" s="37">
        <v>5</v>
      </c>
      <c r="C51" s="37">
        <v>15.93</v>
      </c>
    </row>
    <row r="52" spans="1:3" x14ac:dyDescent="0.25">
      <c r="A52" s="37">
        <v>21</v>
      </c>
      <c r="B52" s="37">
        <v>5</v>
      </c>
      <c r="C52" s="37">
        <v>16.04</v>
      </c>
    </row>
    <row r="53" spans="1:3" x14ac:dyDescent="0.25">
      <c r="A53" s="37">
        <v>22</v>
      </c>
      <c r="B53" s="37">
        <v>5</v>
      </c>
      <c r="C53" s="37">
        <v>16.149999999999999</v>
      </c>
    </row>
    <row r="54" spans="1:3" x14ac:dyDescent="0.25">
      <c r="A54" s="37">
        <v>23</v>
      </c>
      <c r="B54" s="37">
        <v>5</v>
      </c>
      <c r="C54" s="37">
        <v>16.27</v>
      </c>
    </row>
    <row r="55" spans="1:3" x14ac:dyDescent="0.25">
      <c r="A55" s="37">
        <v>24</v>
      </c>
      <c r="B55" s="37">
        <v>5</v>
      </c>
      <c r="C55" s="37">
        <v>16.399999999999999</v>
      </c>
    </row>
    <row r="56" spans="1:3" x14ac:dyDescent="0.25">
      <c r="A56" s="37">
        <v>25</v>
      </c>
      <c r="B56" s="37">
        <v>5</v>
      </c>
      <c r="C56" s="37">
        <v>16.510000000000002</v>
      </c>
    </row>
    <row r="57" spans="1:3" x14ac:dyDescent="0.25">
      <c r="A57" s="37">
        <v>26</v>
      </c>
      <c r="B57" s="37">
        <v>5</v>
      </c>
      <c r="C57" s="37">
        <v>16.63</v>
      </c>
    </row>
    <row r="58" spans="1:3" x14ac:dyDescent="0.25">
      <c r="A58" s="37">
        <v>27</v>
      </c>
      <c r="B58" s="37">
        <v>5</v>
      </c>
      <c r="C58" s="37">
        <v>16.75</v>
      </c>
    </row>
    <row r="59" spans="1:3" x14ac:dyDescent="0.25">
      <c r="A59" s="37">
        <v>28</v>
      </c>
      <c r="B59" s="37">
        <v>5</v>
      </c>
      <c r="C59" s="37">
        <v>16.88</v>
      </c>
    </row>
    <row r="60" spans="1:3" x14ac:dyDescent="0.25">
      <c r="A60" s="37">
        <v>29</v>
      </c>
      <c r="B60" s="37">
        <v>5</v>
      </c>
      <c r="C60" s="37">
        <v>17</v>
      </c>
    </row>
    <row r="61" spans="1:3" x14ac:dyDescent="0.25">
      <c r="A61" s="37">
        <v>30</v>
      </c>
      <c r="B61" s="37">
        <v>5</v>
      </c>
      <c r="C61" s="37">
        <v>17.12</v>
      </c>
    </row>
    <row r="62" spans="1:3" x14ac:dyDescent="0.25">
      <c r="A62" s="37">
        <v>31</v>
      </c>
      <c r="B62" s="37">
        <v>5</v>
      </c>
      <c r="C62" s="37">
        <v>17.239999999999998</v>
      </c>
    </row>
    <row r="63" spans="1:3" x14ac:dyDescent="0.25">
      <c r="A63" s="37">
        <v>1</v>
      </c>
      <c r="B63" s="37">
        <v>6</v>
      </c>
      <c r="C63" s="37">
        <v>17.36</v>
      </c>
    </row>
    <row r="64" spans="1:3" x14ac:dyDescent="0.25">
      <c r="A64" s="37">
        <v>2</v>
      </c>
      <c r="B64" s="37">
        <v>6</v>
      </c>
      <c r="C64" s="37">
        <v>17.48</v>
      </c>
    </row>
    <row r="65" spans="1:3" x14ac:dyDescent="0.25">
      <c r="A65" s="37">
        <v>3</v>
      </c>
      <c r="B65" s="37">
        <v>6</v>
      </c>
      <c r="C65" s="37">
        <v>17.61</v>
      </c>
    </row>
    <row r="66" spans="1:3" x14ac:dyDescent="0.25">
      <c r="A66" s="37">
        <v>4</v>
      </c>
      <c r="B66" s="37">
        <v>6</v>
      </c>
      <c r="C66" s="37">
        <v>17.739999999999998</v>
      </c>
    </row>
    <row r="67" spans="1:3" x14ac:dyDescent="0.25">
      <c r="A67" s="37">
        <v>5</v>
      </c>
      <c r="B67" s="37">
        <v>6</v>
      </c>
      <c r="C67" s="37">
        <v>17.87</v>
      </c>
    </row>
    <row r="68" spans="1:3" x14ac:dyDescent="0.25">
      <c r="A68" s="37">
        <v>6</v>
      </c>
      <c r="B68" s="37">
        <v>6</v>
      </c>
      <c r="C68" s="37">
        <v>17.98</v>
      </c>
    </row>
    <row r="69" spans="1:3" x14ac:dyDescent="0.25">
      <c r="A69" s="37">
        <v>7</v>
      </c>
      <c r="B69" s="37">
        <v>6</v>
      </c>
      <c r="C69" s="37">
        <v>18.11</v>
      </c>
    </row>
    <row r="70" spans="1:3" x14ac:dyDescent="0.25">
      <c r="A70" s="37">
        <v>8</v>
      </c>
      <c r="B70" s="37">
        <v>6</v>
      </c>
      <c r="C70" s="37">
        <v>18.239999999999998</v>
      </c>
    </row>
    <row r="71" spans="1:3" x14ac:dyDescent="0.25">
      <c r="A71" s="37">
        <v>9</v>
      </c>
      <c r="B71" s="37">
        <v>6</v>
      </c>
      <c r="C71" s="37">
        <v>18.36</v>
      </c>
    </row>
    <row r="72" spans="1:3" x14ac:dyDescent="0.25">
      <c r="A72" s="37">
        <v>10</v>
      </c>
      <c r="B72" s="37">
        <v>6</v>
      </c>
      <c r="C72" s="37">
        <v>18.48</v>
      </c>
    </row>
    <row r="73" spans="1:3" x14ac:dyDescent="0.25">
      <c r="A73" s="37">
        <v>11</v>
      </c>
      <c r="B73" s="37">
        <v>6</v>
      </c>
      <c r="C73" s="37">
        <v>18.61</v>
      </c>
    </row>
    <row r="74" spans="1:3" x14ac:dyDescent="0.25">
      <c r="A74" s="37">
        <v>12</v>
      </c>
      <c r="B74" s="37">
        <v>6</v>
      </c>
      <c r="C74" s="37">
        <v>18.73</v>
      </c>
    </row>
    <row r="75" spans="1:3" x14ac:dyDescent="0.25">
      <c r="A75" s="37">
        <v>13</v>
      </c>
      <c r="B75" s="37">
        <v>6</v>
      </c>
      <c r="C75" s="37">
        <v>18.86</v>
      </c>
    </row>
    <row r="76" spans="1:3" x14ac:dyDescent="0.25">
      <c r="A76" s="37">
        <v>14</v>
      </c>
      <c r="B76" s="37">
        <v>6</v>
      </c>
      <c r="C76" s="37">
        <v>18.98</v>
      </c>
    </row>
    <row r="77" spans="1:3" x14ac:dyDescent="0.25">
      <c r="A77" s="37">
        <v>15</v>
      </c>
      <c r="B77" s="37">
        <v>6</v>
      </c>
      <c r="C77" s="37">
        <v>19.09</v>
      </c>
    </row>
    <row r="78" spans="1:3" x14ac:dyDescent="0.25">
      <c r="A78" s="37">
        <v>16</v>
      </c>
      <c r="B78" s="37">
        <v>6</v>
      </c>
      <c r="C78" s="37">
        <v>19.22</v>
      </c>
    </row>
    <row r="79" spans="1:3" x14ac:dyDescent="0.25">
      <c r="A79" s="37">
        <v>17</v>
      </c>
      <c r="B79" s="37">
        <v>6</v>
      </c>
      <c r="C79" s="37">
        <v>19.329999999999998</v>
      </c>
    </row>
    <row r="80" spans="1:3" x14ac:dyDescent="0.25">
      <c r="A80" s="37">
        <v>18</v>
      </c>
      <c r="B80" s="37">
        <v>6</v>
      </c>
      <c r="C80" s="37">
        <v>19.45</v>
      </c>
    </row>
    <row r="81" spans="1:3" x14ac:dyDescent="0.25">
      <c r="A81" s="37">
        <v>19</v>
      </c>
      <c r="B81" s="37">
        <v>6</v>
      </c>
      <c r="C81" s="37">
        <v>19.559999999999999</v>
      </c>
    </row>
    <row r="82" spans="1:3" x14ac:dyDescent="0.25">
      <c r="A82" s="37">
        <v>20</v>
      </c>
      <c r="B82" s="37">
        <v>6</v>
      </c>
      <c r="C82" s="37">
        <v>19.670000000000002</v>
      </c>
    </row>
    <row r="83" spans="1:3" x14ac:dyDescent="0.25">
      <c r="A83" s="37">
        <v>21</v>
      </c>
      <c r="B83" s="37">
        <v>6</v>
      </c>
      <c r="C83" s="37">
        <v>19.78</v>
      </c>
    </row>
    <row r="84" spans="1:3" x14ac:dyDescent="0.25">
      <c r="A84" s="37">
        <v>22</v>
      </c>
      <c r="B84" s="37">
        <v>6</v>
      </c>
      <c r="C84" s="37">
        <v>19.89</v>
      </c>
    </row>
    <row r="85" spans="1:3" x14ac:dyDescent="0.25">
      <c r="A85" s="37">
        <v>23</v>
      </c>
      <c r="B85" s="37">
        <v>6</v>
      </c>
      <c r="C85" s="37">
        <v>20</v>
      </c>
    </row>
    <row r="86" spans="1:3" x14ac:dyDescent="0.25">
      <c r="A86" s="37">
        <v>24</v>
      </c>
      <c r="B86" s="37">
        <v>6</v>
      </c>
      <c r="C86" s="37">
        <v>20.100000000000001</v>
      </c>
    </row>
    <row r="87" spans="1:3" x14ac:dyDescent="0.25">
      <c r="A87" s="37">
        <v>25</v>
      </c>
      <c r="B87" s="37">
        <v>6</v>
      </c>
      <c r="C87" s="37">
        <v>20.2</v>
      </c>
    </row>
    <row r="88" spans="1:3" x14ac:dyDescent="0.25">
      <c r="A88" s="37">
        <v>26</v>
      </c>
      <c r="B88" s="37">
        <v>6</v>
      </c>
      <c r="C88" s="37">
        <v>20.3</v>
      </c>
    </row>
    <row r="89" spans="1:3" x14ac:dyDescent="0.25">
      <c r="A89" s="37">
        <v>27</v>
      </c>
      <c r="B89" s="37">
        <v>6</v>
      </c>
      <c r="C89" s="37">
        <v>20.399999999999999</v>
      </c>
    </row>
    <row r="90" spans="1:3" x14ac:dyDescent="0.25">
      <c r="A90" s="37">
        <v>28</v>
      </c>
      <c r="B90" s="37">
        <v>6</v>
      </c>
      <c r="C90" s="37">
        <v>20.49</v>
      </c>
    </row>
    <row r="91" spans="1:3" x14ac:dyDescent="0.25">
      <c r="A91" s="37">
        <v>29</v>
      </c>
      <c r="B91" s="37">
        <v>6</v>
      </c>
      <c r="C91" s="37">
        <v>20.58</v>
      </c>
    </row>
    <row r="92" spans="1:3" x14ac:dyDescent="0.25">
      <c r="A92" s="37">
        <v>30</v>
      </c>
      <c r="B92" s="37">
        <v>6</v>
      </c>
      <c r="C92" s="37">
        <v>20.67</v>
      </c>
    </row>
    <row r="93" spans="1:3" x14ac:dyDescent="0.25">
      <c r="A93" s="37">
        <v>1</v>
      </c>
      <c r="B93" s="37">
        <v>7</v>
      </c>
      <c r="C93" s="37">
        <v>20.76</v>
      </c>
    </row>
    <row r="94" spans="1:3" x14ac:dyDescent="0.25">
      <c r="A94" s="37">
        <v>2</v>
      </c>
      <c r="B94" s="37">
        <v>7</v>
      </c>
      <c r="C94" s="37">
        <v>20.84</v>
      </c>
    </row>
    <row r="95" spans="1:3" x14ac:dyDescent="0.25">
      <c r="A95" s="37">
        <v>3</v>
      </c>
      <c r="B95" s="37">
        <v>7</v>
      </c>
      <c r="C95" s="37">
        <v>20.91</v>
      </c>
    </row>
    <row r="96" spans="1:3" x14ac:dyDescent="0.25">
      <c r="A96" s="37">
        <v>4</v>
      </c>
      <c r="B96" s="37">
        <v>7</v>
      </c>
      <c r="C96" s="37">
        <v>20.98</v>
      </c>
    </row>
    <row r="97" spans="1:3" x14ac:dyDescent="0.25">
      <c r="A97" s="37">
        <v>5</v>
      </c>
      <c r="B97" s="37">
        <v>7</v>
      </c>
      <c r="C97" s="37">
        <v>21.06</v>
      </c>
    </row>
    <row r="98" spans="1:3" x14ac:dyDescent="0.25">
      <c r="A98" s="37">
        <v>6</v>
      </c>
      <c r="B98" s="37">
        <v>7</v>
      </c>
      <c r="C98" s="37">
        <v>21.12</v>
      </c>
    </row>
    <row r="99" spans="1:3" x14ac:dyDescent="0.25">
      <c r="A99" s="37">
        <v>7</v>
      </c>
      <c r="B99" s="37">
        <v>7</v>
      </c>
      <c r="C99" s="37">
        <v>21.18</v>
      </c>
    </row>
    <row r="100" spans="1:3" x14ac:dyDescent="0.25">
      <c r="A100" s="37">
        <v>8</v>
      </c>
      <c r="B100" s="37">
        <v>7</v>
      </c>
      <c r="C100" s="37">
        <v>21.24</v>
      </c>
    </row>
    <row r="101" spans="1:3" x14ac:dyDescent="0.25">
      <c r="A101" s="37">
        <v>9</v>
      </c>
      <c r="B101" s="37">
        <v>7</v>
      </c>
      <c r="C101" s="37">
        <v>21.29</v>
      </c>
    </row>
    <row r="102" spans="1:3" x14ac:dyDescent="0.25">
      <c r="A102" s="37">
        <v>10</v>
      </c>
      <c r="B102" s="37">
        <v>7</v>
      </c>
      <c r="C102" s="37">
        <v>21.34</v>
      </c>
    </row>
    <row r="103" spans="1:3" x14ac:dyDescent="0.25">
      <c r="A103" s="37">
        <v>11</v>
      </c>
      <c r="B103" s="37">
        <v>7</v>
      </c>
      <c r="C103" s="37">
        <v>21.39</v>
      </c>
    </row>
    <row r="104" spans="1:3" x14ac:dyDescent="0.25">
      <c r="A104" s="37">
        <v>12</v>
      </c>
      <c r="B104" s="37">
        <v>7</v>
      </c>
      <c r="C104" s="37">
        <v>21.44</v>
      </c>
    </row>
    <row r="105" spans="1:3" x14ac:dyDescent="0.25">
      <c r="A105" s="37">
        <v>13</v>
      </c>
      <c r="B105" s="37">
        <v>7</v>
      </c>
      <c r="C105" s="37">
        <v>21.48</v>
      </c>
    </row>
    <row r="106" spans="1:3" x14ac:dyDescent="0.25">
      <c r="A106" s="37">
        <v>14</v>
      </c>
      <c r="B106" s="37">
        <v>7</v>
      </c>
      <c r="C106" s="37">
        <v>21.5</v>
      </c>
    </row>
    <row r="107" spans="1:3" x14ac:dyDescent="0.25">
      <c r="A107" s="37">
        <v>15</v>
      </c>
      <c r="B107" s="37">
        <v>7</v>
      </c>
      <c r="C107" s="37">
        <v>21.53</v>
      </c>
    </row>
    <row r="108" spans="1:3" x14ac:dyDescent="0.25">
      <c r="A108" s="37">
        <v>16</v>
      </c>
      <c r="B108" s="37">
        <v>7</v>
      </c>
      <c r="C108" s="37">
        <v>21.56</v>
      </c>
    </row>
    <row r="109" spans="1:3" x14ac:dyDescent="0.25">
      <c r="A109" s="37">
        <v>17</v>
      </c>
      <c r="B109" s="37">
        <v>7</v>
      </c>
      <c r="C109" s="37">
        <v>21.58</v>
      </c>
    </row>
    <row r="110" spans="1:3" x14ac:dyDescent="0.25">
      <c r="A110" s="37">
        <v>18</v>
      </c>
      <c r="B110" s="37">
        <v>7</v>
      </c>
      <c r="C110" s="37">
        <v>21.59</v>
      </c>
    </row>
    <row r="111" spans="1:3" x14ac:dyDescent="0.25">
      <c r="A111" s="37">
        <v>19</v>
      </c>
      <c r="B111" s="37">
        <v>7</v>
      </c>
      <c r="C111" s="37">
        <v>21.61</v>
      </c>
    </row>
    <row r="112" spans="1:3" x14ac:dyDescent="0.25">
      <c r="A112" s="37">
        <v>20</v>
      </c>
      <c r="B112" s="37">
        <v>7</v>
      </c>
      <c r="C112" s="37">
        <v>21.61</v>
      </c>
    </row>
    <row r="113" spans="1:3" x14ac:dyDescent="0.25">
      <c r="A113" s="37">
        <v>21</v>
      </c>
      <c r="B113" s="37">
        <v>7</v>
      </c>
      <c r="C113" s="37">
        <v>21.62</v>
      </c>
    </row>
    <row r="114" spans="1:3" x14ac:dyDescent="0.25">
      <c r="A114" s="37">
        <v>22</v>
      </c>
      <c r="B114" s="37">
        <v>7</v>
      </c>
      <c r="C114" s="37">
        <v>21.62</v>
      </c>
    </row>
    <row r="115" spans="1:3" x14ac:dyDescent="0.25">
      <c r="A115" s="37">
        <v>23</v>
      </c>
      <c r="B115" s="37">
        <v>7</v>
      </c>
      <c r="C115" s="37">
        <v>21.61</v>
      </c>
    </row>
    <row r="116" spans="1:3" x14ac:dyDescent="0.25">
      <c r="A116" s="37">
        <v>24</v>
      </c>
      <c r="B116" s="37">
        <v>7</v>
      </c>
      <c r="C116" s="37">
        <v>21.61</v>
      </c>
    </row>
    <row r="117" spans="1:3" x14ac:dyDescent="0.25">
      <c r="A117" s="37">
        <v>25</v>
      </c>
      <c r="B117" s="37">
        <v>7</v>
      </c>
      <c r="C117" s="37">
        <v>21.6</v>
      </c>
    </row>
    <row r="118" spans="1:3" x14ac:dyDescent="0.25">
      <c r="A118" s="37">
        <v>26</v>
      </c>
      <c r="B118" s="37">
        <v>7</v>
      </c>
      <c r="C118" s="37">
        <v>21.57</v>
      </c>
    </row>
    <row r="119" spans="1:3" x14ac:dyDescent="0.25">
      <c r="A119" s="37">
        <v>27</v>
      </c>
      <c r="B119" s="37">
        <v>7</v>
      </c>
      <c r="C119" s="37">
        <v>21.56</v>
      </c>
    </row>
    <row r="120" spans="1:3" x14ac:dyDescent="0.25">
      <c r="A120" s="37">
        <v>28</v>
      </c>
      <c r="B120" s="37">
        <v>7</v>
      </c>
      <c r="C120" s="37">
        <v>21.54</v>
      </c>
    </row>
    <row r="121" spans="1:3" x14ac:dyDescent="0.25">
      <c r="A121" s="37">
        <v>29</v>
      </c>
      <c r="B121" s="37">
        <v>7</v>
      </c>
      <c r="C121" s="37">
        <v>21.51</v>
      </c>
    </row>
    <row r="122" spans="1:3" x14ac:dyDescent="0.25">
      <c r="A122" s="37">
        <v>30</v>
      </c>
      <c r="B122" s="37">
        <v>7</v>
      </c>
      <c r="C122" s="37">
        <v>21.48</v>
      </c>
    </row>
    <row r="123" spans="1:3" x14ac:dyDescent="0.25">
      <c r="A123" s="37">
        <v>31</v>
      </c>
      <c r="B123" s="37">
        <v>7</v>
      </c>
      <c r="C123" s="37">
        <v>21.44</v>
      </c>
    </row>
    <row r="124" spans="1:3" x14ac:dyDescent="0.25">
      <c r="A124" s="37">
        <v>1</v>
      </c>
      <c r="B124" s="37">
        <v>8</v>
      </c>
      <c r="C124" s="37">
        <v>21.41</v>
      </c>
    </row>
    <row r="125" spans="1:3" x14ac:dyDescent="0.25">
      <c r="A125" s="37">
        <v>2</v>
      </c>
      <c r="B125" s="37">
        <v>8</v>
      </c>
      <c r="C125" s="37">
        <v>21.36</v>
      </c>
    </row>
    <row r="126" spans="1:3" x14ac:dyDescent="0.25">
      <c r="A126" s="37">
        <v>3</v>
      </c>
      <c r="B126" s="37">
        <v>8</v>
      </c>
      <c r="C126" s="37">
        <v>21.32</v>
      </c>
    </row>
    <row r="127" spans="1:3" x14ac:dyDescent="0.25">
      <c r="A127" s="37">
        <v>4</v>
      </c>
      <c r="B127" s="37">
        <v>8</v>
      </c>
      <c r="C127" s="37">
        <v>21.27</v>
      </c>
    </row>
    <row r="128" spans="1:3" x14ac:dyDescent="0.25">
      <c r="A128" s="37">
        <v>5</v>
      </c>
      <c r="B128" s="37">
        <v>8</v>
      </c>
      <c r="C128" s="37">
        <v>21.22</v>
      </c>
    </row>
    <row r="129" spans="1:3" x14ac:dyDescent="0.25">
      <c r="A129" s="37">
        <v>6</v>
      </c>
      <c r="B129" s="37">
        <v>8</v>
      </c>
      <c r="C129" s="37">
        <v>21.16</v>
      </c>
    </row>
    <row r="130" spans="1:3" x14ac:dyDescent="0.25">
      <c r="A130" s="37">
        <v>7</v>
      </c>
      <c r="B130" s="37">
        <v>8</v>
      </c>
      <c r="C130" s="37">
        <v>21.11</v>
      </c>
    </row>
    <row r="131" spans="1:3" x14ac:dyDescent="0.25">
      <c r="A131" s="37">
        <v>8</v>
      </c>
      <c r="B131" s="37">
        <v>8</v>
      </c>
      <c r="C131" s="37">
        <v>21.05</v>
      </c>
    </row>
    <row r="132" spans="1:3" x14ac:dyDescent="0.25">
      <c r="A132" s="37">
        <v>9</v>
      </c>
      <c r="B132" s="37">
        <v>8</v>
      </c>
      <c r="C132" s="37">
        <v>20.98</v>
      </c>
    </row>
    <row r="133" spans="1:3" x14ac:dyDescent="0.25">
      <c r="A133" s="37">
        <v>10</v>
      </c>
      <c r="B133" s="37">
        <v>8</v>
      </c>
      <c r="C133" s="37">
        <v>20.92</v>
      </c>
    </row>
    <row r="134" spans="1:3" x14ac:dyDescent="0.25">
      <c r="A134" s="37">
        <v>11</v>
      </c>
      <c r="B134" s="37">
        <v>8</v>
      </c>
      <c r="C134" s="37">
        <v>20.85</v>
      </c>
    </row>
    <row r="135" spans="1:3" x14ac:dyDescent="0.25">
      <c r="A135" s="37">
        <v>12</v>
      </c>
      <c r="B135" s="37">
        <v>8</v>
      </c>
      <c r="C135" s="37">
        <v>20.77</v>
      </c>
    </row>
    <row r="136" spans="1:3" x14ac:dyDescent="0.25">
      <c r="A136" s="37">
        <v>13</v>
      </c>
      <c r="B136" s="37">
        <v>8</v>
      </c>
      <c r="C136" s="37">
        <v>20.71</v>
      </c>
    </row>
    <row r="137" spans="1:3" x14ac:dyDescent="0.25">
      <c r="A137" s="37">
        <v>14</v>
      </c>
      <c r="B137" s="37">
        <v>8</v>
      </c>
      <c r="C137" s="37">
        <v>20.63</v>
      </c>
    </row>
    <row r="138" spans="1:3" x14ac:dyDescent="0.25">
      <c r="A138" s="37">
        <v>15</v>
      </c>
      <c r="B138" s="37">
        <v>8</v>
      </c>
      <c r="C138" s="37">
        <v>20.56</v>
      </c>
    </row>
    <row r="139" spans="1:3" x14ac:dyDescent="0.25">
      <c r="A139" s="37">
        <v>16</v>
      </c>
      <c r="B139" s="37">
        <v>8</v>
      </c>
      <c r="C139" s="37">
        <v>20.48</v>
      </c>
    </row>
    <row r="140" spans="1:3" x14ac:dyDescent="0.25">
      <c r="A140" s="37">
        <v>17</v>
      </c>
      <c r="B140" s="37">
        <v>8</v>
      </c>
      <c r="C140" s="37">
        <v>20.399999999999999</v>
      </c>
    </row>
    <row r="141" spans="1:3" x14ac:dyDescent="0.25">
      <c r="A141" s="37">
        <v>18</v>
      </c>
      <c r="B141" s="37">
        <v>8</v>
      </c>
      <c r="C141" s="37">
        <v>20.309999999999999</v>
      </c>
    </row>
    <row r="142" spans="1:3" x14ac:dyDescent="0.25">
      <c r="A142" s="37">
        <v>19</v>
      </c>
      <c r="B142" s="37">
        <v>8</v>
      </c>
      <c r="C142" s="37">
        <v>20.23</v>
      </c>
    </row>
    <row r="143" spans="1:3" x14ac:dyDescent="0.25">
      <c r="A143" s="37">
        <v>20</v>
      </c>
      <c r="B143" s="37">
        <v>8</v>
      </c>
      <c r="C143" s="37">
        <v>20.14</v>
      </c>
    </row>
    <row r="144" spans="1:3" x14ac:dyDescent="0.25">
      <c r="A144" s="37">
        <v>21</v>
      </c>
      <c r="B144" s="37">
        <v>8</v>
      </c>
      <c r="C144" s="37">
        <v>20.05</v>
      </c>
    </row>
    <row r="145" spans="1:3" x14ac:dyDescent="0.25">
      <c r="A145" s="37">
        <v>22</v>
      </c>
      <c r="B145" s="37">
        <v>8</v>
      </c>
      <c r="C145" s="37">
        <v>19.97</v>
      </c>
    </row>
    <row r="146" spans="1:3" x14ac:dyDescent="0.25">
      <c r="A146" s="37">
        <v>23</v>
      </c>
      <c r="B146" s="37">
        <v>8</v>
      </c>
      <c r="C146" s="37">
        <v>19.88</v>
      </c>
    </row>
    <row r="147" spans="1:3" x14ac:dyDescent="0.25">
      <c r="A147" s="37">
        <v>24</v>
      </c>
      <c r="B147" s="37">
        <v>8</v>
      </c>
      <c r="C147" s="37">
        <v>19.79</v>
      </c>
    </row>
    <row r="148" spans="1:3" x14ac:dyDescent="0.25">
      <c r="A148" s="37">
        <v>25</v>
      </c>
      <c r="B148" s="37">
        <v>8</v>
      </c>
      <c r="C148" s="37">
        <v>19.690000000000001</v>
      </c>
    </row>
    <row r="149" spans="1:3" x14ac:dyDescent="0.25">
      <c r="A149" s="37">
        <v>26</v>
      </c>
      <c r="B149" s="37">
        <v>8</v>
      </c>
      <c r="C149" s="37">
        <v>19.600000000000001</v>
      </c>
    </row>
    <row r="150" spans="1:3" x14ac:dyDescent="0.25">
      <c r="A150" s="37">
        <v>27</v>
      </c>
      <c r="B150" s="37">
        <v>8</v>
      </c>
      <c r="C150" s="37">
        <v>19.5</v>
      </c>
    </row>
    <row r="151" spans="1:3" x14ac:dyDescent="0.25">
      <c r="A151" s="37">
        <v>28</v>
      </c>
      <c r="B151" s="37">
        <v>8</v>
      </c>
      <c r="C151" s="37">
        <v>19.41</v>
      </c>
    </row>
    <row r="152" spans="1:3" x14ac:dyDescent="0.25">
      <c r="A152" s="37">
        <v>29</v>
      </c>
      <c r="B152" s="37">
        <v>8</v>
      </c>
      <c r="C152" s="37">
        <v>19.309999999999999</v>
      </c>
    </row>
    <row r="153" spans="1:3" x14ac:dyDescent="0.25">
      <c r="A153" s="37">
        <v>30</v>
      </c>
      <c r="B153" s="37">
        <v>8</v>
      </c>
      <c r="C153" s="37">
        <v>19.21</v>
      </c>
    </row>
    <row r="154" spans="1:3" x14ac:dyDescent="0.25">
      <c r="A154" s="37">
        <v>31</v>
      </c>
      <c r="B154" s="37">
        <v>8</v>
      </c>
      <c r="C154" s="37">
        <v>19.11</v>
      </c>
    </row>
    <row r="155" spans="1:3" x14ac:dyDescent="0.25">
      <c r="A155" s="37">
        <v>1</v>
      </c>
      <c r="B155" s="37">
        <v>9</v>
      </c>
      <c r="C155" s="37">
        <v>19.02</v>
      </c>
    </row>
    <row r="156" spans="1:3" x14ac:dyDescent="0.25">
      <c r="A156" s="37">
        <v>2</v>
      </c>
      <c r="B156" s="37">
        <v>9</v>
      </c>
      <c r="C156" s="37">
        <v>18.899999999999999</v>
      </c>
    </row>
    <row r="157" spans="1:3" x14ac:dyDescent="0.25">
      <c r="A157" s="37">
        <v>3</v>
      </c>
      <c r="B157" s="37">
        <v>9</v>
      </c>
      <c r="C157" s="37">
        <v>18.8</v>
      </c>
    </row>
    <row r="158" spans="1:3" x14ac:dyDescent="0.25">
      <c r="A158" s="37">
        <v>4</v>
      </c>
      <c r="B158" s="37">
        <v>9</v>
      </c>
      <c r="C158" s="37">
        <v>18.7</v>
      </c>
    </row>
    <row r="159" spans="1:3" x14ac:dyDescent="0.25">
      <c r="A159" s="37">
        <v>5</v>
      </c>
      <c r="B159" s="37">
        <v>9</v>
      </c>
      <c r="C159" s="37">
        <v>18.600000000000001</v>
      </c>
    </row>
    <row r="160" spans="1:3" x14ac:dyDescent="0.25">
      <c r="A160" s="37">
        <v>6</v>
      </c>
      <c r="B160" s="37">
        <v>9</v>
      </c>
      <c r="C160" s="37">
        <v>18.489999999999998</v>
      </c>
    </row>
    <row r="161" spans="1:3" x14ac:dyDescent="0.25">
      <c r="A161" s="37">
        <v>7</v>
      </c>
      <c r="B161" s="37">
        <v>9</v>
      </c>
      <c r="C161" s="37">
        <v>18.38</v>
      </c>
    </row>
    <row r="162" spans="1:3" x14ac:dyDescent="0.25">
      <c r="A162" s="37">
        <v>8</v>
      </c>
      <c r="B162" s="37">
        <v>9</v>
      </c>
      <c r="C162" s="37">
        <v>18.27</v>
      </c>
    </row>
    <row r="163" spans="1:3" x14ac:dyDescent="0.25">
      <c r="A163" s="37">
        <v>9</v>
      </c>
      <c r="B163" s="37">
        <v>9</v>
      </c>
      <c r="C163" s="37">
        <v>18.170000000000002</v>
      </c>
    </row>
    <row r="164" spans="1:3" x14ac:dyDescent="0.25">
      <c r="A164" s="37">
        <v>10</v>
      </c>
      <c r="B164" s="37">
        <v>9</v>
      </c>
      <c r="C164" s="37">
        <v>18.059999999999999</v>
      </c>
    </row>
    <row r="165" spans="1:3" x14ac:dyDescent="0.25">
      <c r="A165" s="37">
        <v>11</v>
      </c>
      <c r="B165" s="37">
        <v>9</v>
      </c>
      <c r="C165" s="37">
        <v>17.95</v>
      </c>
    </row>
    <row r="166" spans="1:3" x14ac:dyDescent="0.25">
      <c r="A166" s="37">
        <v>12</v>
      </c>
      <c r="B166" s="37">
        <v>9</v>
      </c>
      <c r="C166" s="37">
        <v>17.84</v>
      </c>
    </row>
    <row r="167" spans="1:3" x14ac:dyDescent="0.25">
      <c r="A167" s="37">
        <v>13</v>
      </c>
      <c r="B167" s="37">
        <v>9</v>
      </c>
      <c r="C167" s="37">
        <v>17.72</v>
      </c>
    </row>
    <row r="168" spans="1:3" x14ac:dyDescent="0.25">
      <c r="A168" s="37">
        <v>14</v>
      </c>
      <c r="B168" s="37">
        <v>9</v>
      </c>
      <c r="C168" s="37">
        <v>17.61</v>
      </c>
    </row>
    <row r="169" spans="1:3" x14ac:dyDescent="0.25">
      <c r="A169" s="37">
        <v>15</v>
      </c>
      <c r="B169" s="37">
        <v>9</v>
      </c>
      <c r="C169" s="37">
        <v>17.5</v>
      </c>
    </row>
    <row r="170" spans="1:3" x14ac:dyDescent="0.25">
      <c r="A170" s="37">
        <v>16</v>
      </c>
      <c r="B170" s="37">
        <v>9</v>
      </c>
      <c r="C170" s="37">
        <v>17.38</v>
      </c>
    </row>
    <row r="171" spans="1:3" x14ac:dyDescent="0.25">
      <c r="A171" s="37">
        <v>17</v>
      </c>
      <c r="B171" s="37">
        <v>9</v>
      </c>
      <c r="C171" s="37">
        <v>17.27</v>
      </c>
    </row>
    <row r="172" spans="1:3" x14ac:dyDescent="0.25">
      <c r="A172" s="37">
        <v>18</v>
      </c>
      <c r="B172" s="37">
        <v>9</v>
      </c>
      <c r="C172" s="37">
        <v>17.16</v>
      </c>
    </row>
    <row r="173" spans="1:3" x14ac:dyDescent="0.25">
      <c r="A173" s="37">
        <v>19</v>
      </c>
      <c r="B173" s="37">
        <v>9</v>
      </c>
      <c r="C173" s="37">
        <v>17.04</v>
      </c>
    </row>
    <row r="174" spans="1:3" x14ac:dyDescent="0.25">
      <c r="A174" s="37">
        <v>20</v>
      </c>
      <c r="B174" s="37">
        <v>9</v>
      </c>
      <c r="C174" s="37">
        <v>16.91</v>
      </c>
    </row>
    <row r="175" spans="1:3" x14ac:dyDescent="0.25">
      <c r="A175" s="37">
        <v>21</v>
      </c>
      <c r="B175" s="37">
        <v>9</v>
      </c>
      <c r="C175" s="37">
        <v>16.8</v>
      </c>
    </row>
    <row r="176" spans="1:3" x14ac:dyDescent="0.25">
      <c r="A176" s="37">
        <v>22</v>
      </c>
      <c r="B176" s="37">
        <v>9</v>
      </c>
      <c r="C176" s="37">
        <v>16.68</v>
      </c>
    </row>
    <row r="177" spans="1:3" x14ac:dyDescent="0.25">
      <c r="A177" s="37">
        <v>23</v>
      </c>
      <c r="B177" s="37">
        <v>9</v>
      </c>
      <c r="C177" s="37">
        <v>16.55</v>
      </c>
    </row>
    <row r="178" spans="1:3" x14ac:dyDescent="0.25">
      <c r="A178" s="37">
        <v>24</v>
      </c>
      <c r="B178" s="37">
        <v>9</v>
      </c>
      <c r="C178" s="37">
        <v>16.43</v>
      </c>
    </row>
    <row r="179" spans="1:3" x14ac:dyDescent="0.25">
      <c r="A179" s="37">
        <v>25</v>
      </c>
      <c r="B179" s="37">
        <v>9</v>
      </c>
      <c r="C179" s="37">
        <v>16.3</v>
      </c>
    </row>
    <row r="180" spans="1:3" x14ac:dyDescent="0.25">
      <c r="A180" s="37">
        <v>26</v>
      </c>
      <c r="B180" s="37">
        <v>9</v>
      </c>
      <c r="C180" s="37">
        <v>16.170000000000002</v>
      </c>
    </row>
    <row r="181" spans="1:3" x14ac:dyDescent="0.25">
      <c r="A181" s="37">
        <v>27</v>
      </c>
      <c r="B181" s="37">
        <v>9</v>
      </c>
      <c r="C181" s="37">
        <v>16.05</v>
      </c>
    </row>
    <row r="182" spans="1:3" x14ac:dyDescent="0.25">
      <c r="A182" s="37">
        <v>28</v>
      </c>
      <c r="B182" s="37">
        <v>9</v>
      </c>
      <c r="C182" s="37">
        <v>15.92</v>
      </c>
    </row>
    <row r="183" spans="1:3" x14ac:dyDescent="0.25">
      <c r="A183" s="37">
        <v>29</v>
      </c>
      <c r="B183" s="37">
        <v>9</v>
      </c>
      <c r="C183" s="37">
        <v>15.8</v>
      </c>
    </row>
    <row r="184" spans="1:3" x14ac:dyDescent="0.25">
      <c r="A184" s="37">
        <v>30</v>
      </c>
      <c r="B184" s="37">
        <v>9</v>
      </c>
      <c r="C184" s="37">
        <v>15.67</v>
      </c>
    </row>
    <row r="185" spans="1:3" x14ac:dyDescent="0.25">
      <c r="A185" s="37">
        <v>1</v>
      </c>
      <c r="B185" s="37">
        <v>10</v>
      </c>
      <c r="C185" s="37">
        <v>15.53</v>
      </c>
    </row>
    <row r="186" spans="1:3" x14ac:dyDescent="0.25">
      <c r="A186" s="37">
        <v>2</v>
      </c>
      <c r="B186" s="37">
        <v>10</v>
      </c>
      <c r="C186" s="37">
        <v>15.39</v>
      </c>
    </row>
    <row r="187" spans="1:3" x14ac:dyDescent="0.25">
      <c r="A187" s="37">
        <v>3</v>
      </c>
      <c r="B187" s="37">
        <v>10</v>
      </c>
      <c r="C187" s="37">
        <v>15.26</v>
      </c>
    </row>
    <row r="188" spans="1:3" x14ac:dyDescent="0.25">
      <c r="A188" s="37">
        <v>4</v>
      </c>
      <c r="B188" s="37">
        <v>10</v>
      </c>
      <c r="C188" s="37">
        <v>15.12</v>
      </c>
    </row>
    <row r="189" spans="1:3" x14ac:dyDescent="0.25">
      <c r="A189" s="37">
        <v>5</v>
      </c>
      <c r="B189" s="37">
        <v>10</v>
      </c>
      <c r="C189" s="37">
        <v>14.98</v>
      </c>
    </row>
    <row r="190" spans="1:3" x14ac:dyDescent="0.25">
      <c r="A190" s="37">
        <v>6</v>
      </c>
      <c r="B190" s="37">
        <v>10</v>
      </c>
      <c r="C190" s="37">
        <v>14.85</v>
      </c>
    </row>
    <row r="191" spans="1:3" x14ac:dyDescent="0.25">
      <c r="A191" s="37">
        <v>7</v>
      </c>
      <c r="B191" s="37">
        <v>10</v>
      </c>
      <c r="C191" s="37">
        <v>14.71</v>
      </c>
    </row>
    <row r="192" spans="1:3" x14ac:dyDescent="0.25">
      <c r="A192" s="37">
        <v>8</v>
      </c>
      <c r="B192" s="37">
        <v>10</v>
      </c>
      <c r="C192" s="37">
        <v>14.57</v>
      </c>
    </row>
    <row r="193" spans="1:3" x14ac:dyDescent="0.25">
      <c r="A193" s="37">
        <v>9</v>
      </c>
      <c r="B193" s="37">
        <v>10</v>
      </c>
      <c r="C193" s="37">
        <v>14.42</v>
      </c>
    </row>
    <row r="194" spans="1:3" x14ac:dyDescent="0.25">
      <c r="A194" s="37">
        <v>10</v>
      </c>
      <c r="B194" s="37">
        <v>10</v>
      </c>
      <c r="C194" s="37">
        <v>14.28</v>
      </c>
    </row>
    <row r="195" spans="1:3" x14ac:dyDescent="0.25">
      <c r="A195" s="37">
        <v>11</v>
      </c>
      <c r="B195" s="37">
        <v>10</v>
      </c>
      <c r="C195" s="37">
        <v>14.13</v>
      </c>
    </row>
    <row r="196" spans="1:3" x14ac:dyDescent="0.25">
      <c r="A196" s="37">
        <v>12</v>
      </c>
      <c r="B196" s="37">
        <v>10</v>
      </c>
      <c r="C196" s="37">
        <v>13.99</v>
      </c>
    </row>
    <row r="197" spans="1:3" x14ac:dyDescent="0.25">
      <c r="A197" s="37">
        <v>13</v>
      </c>
      <c r="B197" s="37">
        <v>10</v>
      </c>
      <c r="C197" s="37">
        <v>13.85</v>
      </c>
    </row>
    <row r="198" spans="1:3" x14ac:dyDescent="0.25">
      <c r="A198" s="37">
        <v>14</v>
      </c>
      <c r="B198" s="37">
        <v>10</v>
      </c>
      <c r="C198" s="37">
        <v>13.69</v>
      </c>
    </row>
    <row r="199" spans="1:3" x14ac:dyDescent="0.25">
      <c r="A199" s="37">
        <v>15</v>
      </c>
      <c r="B199" s="37">
        <v>10</v>
      </c>
      <c r="C199" s="37">
        <v>13.54</v>
      </c>
    </row>
    <row r="200" spans="1:3" x14ac:dyDescent="0.25">
      <c r="A200" s="37">
        <v>16</v>
      </c>
      <c r="B200" s="37">
        <v>10</v>
      </c>
      <c r="C200" s="37">
        <v>13.4</v>
      </c>
    </row>
    <row r="201" spans="1:3" x14ac:dyDescent="0.25">
      <c r="A201" s="37">
        <v>17</v>
      </c>
      <c r="B201" s="37">
        <v>10</v>
      </c>
      <c r="C201" s="37">
        <v>13.24</v>
      </c>
    </row>
    <row r="202" spans="1:3" x14ac:dyDescent="0.25">
      <c r="A202" s="37">
        <v>18</v>
      </c>
      <c r="B202" s="37">
        <v>10</v>
      </c>
      <c r="C202" s="37">
        <v>13.09</v>
      </c>
    </row>
    <row r="203" spans="1:3" x14ac:dyDescent="0.25">
      <c r="A203" s="37">
        <v>19</v>
      </c>
      <c r="B203" s="37">
        <v>10</v>
      </c>
      <c r="C203" s="37">
        <v>12.94</v>
      </c>
    </row>
    <row r="204" spans="1:3" x14ac:dyDescent="0.25">
      <c r="A204" s="37">
        <v>20</v>
      </c>
      <c r="B204" s="37">
        <v>10</v>
      </c>
      <c r="C204" s="37">
        <v>12.79</v>
      </c>
    </row>
    <row r="205" spans="1:3" x14ac:dyDescent="0.25">
      <c r="A205" s="37">
        <v>21</v>
      </c>
      <c r="B205" s="37">
        <v>10</v>
      </c>
      <c r="C205" s="37">
        <v>12.63</v>
      </c>
    </row>
    <row r="206" spans="1:3" x14ac:dyDescent="0.25">
      <c r="A206" s="37">
        <v>22</v>
      </c>
      <c r="B206" s="37">
        <v>10</v>
      </c>
      <c r="C206" s="37">
        <v>12.49</v>
      </c>
    </row>
    <row r="207" spans="1:3" x14ac:dyDescent="0.25">
      <c r="A207" s="37">
        <v>23</v>
      </c>
      <c r="B207" s="37">
        <v>10</v>
      </c>
      <c r="C207" s="37">
        <v>12.33</v>
      </c>
    </row>
    <row r="208" spans="1:3" x14ac:dyDescent="0.25">
      <c r="A208" s="37">
        <v>24</v>
      </c>
      <c r="B208" s="37">
        <v>10</v>
      </c>
      <c r="C208" s="37">
        <v>12.18</v>
      </c>
    </row>
    <row r="209" spans="1:3" x14ac:dyDescent="0.25">
      <c r="A209" s="37">
        <v>25</v>
      </c>
      <c r="B209" s="37">
        <v>10</v>
      </c>
      <c r="C209" s="37">
        <v>12.03</v>
      </c>
    </row>
    <row r="210" spans="1:3" x14ac:dyDescent="0.25">
      <c r="A210" s="37">
        <v>26</v>
      </c>
      <c r="B210" s="37">
        <v>10</v>
      </c>
      <c r="C210" s="37">
        <v>11.87</v>
      </c>
    </row>
    <row r="211" spans="1:3" x14ac:dyDescent="0.25">
      <c r="A211" s="37">
        <v>27</v>
      </c>
      <c r="B211" s="37">
        <v>10</v>
      </c>
      <c r="C211" s="37">
        <v>11.71</v>
      </c>
    </row>
    <row r="212" spans="1:3" x14ac:dyDescent="0.25">
      <c r="A212" s="37">
        <v>28</v>
      </c>
      <c r="B212" s="37">
        <v>10</v>
      </c>
      <c r="C212" s="37">
        <v>11.56</v>
      </c>
    </row>
    <row r="213" spans="1:3" x14ac:dyDescent="0.25">
      <c r="A213" s="37">
        <v>29</v>
      </c>
      <c r="B213" s="37">
        <v>10</v>
      </c>
      <c r="C213" s="37">
        <v>11.4</v>
      </c>
    </row>
    <row r="214" spans="1:3" x14ac:dyDescent="0.25">
      <c r="A214" s="37">
        <v>30</v>
      </c>
      <c r="B214" s="37">
        <v>10</v>
      </c>
      <c r="C214" s="37">
        <v>11.25</v>
      </c>
    </row>
    <row r="215" spans="1:3" x14ac:dyDescent="0.25">
      <c r="A215" s="37">
        <v>31</v>
      </c>
      <c r="B215" s="37">
        <v>10</v>
      </c>
      <c r="C215" s="37">
        <v>11.1</v>
      </c>
    </row>
    <row r="216" spans="1:3" x14ac:dyDescent="0.25">
      <c r="A216" s="37">
        <v>1</v>
      </c>
      <c r="B216" s="37">
        <v>11</v>
      </c>
      <c r="C216" s="37">
        <v>10.95</v>
      </c>
    </row>
    <row r="217" spans="1:3" x14ac:dyDescent="0.25">
      <c r="A217" s="37">
        <v>2</v>
      </c>
      <c r="B217" s="37">
        <v>11</v>
      </c>
      <c r="C217" s="37">
        <v>10.8</v>
      </c>
    </row>
    <row r="218" spans="1:3" x14ac:dyDescent="0.25">
      <c r="A218" s="37">
        <v>3</v>
      </c>
      <c r="B218" s="37">
        <v>11</v>
      </c>
      <c r="C218" s="37">
        <v>10.64</v>
      </c>
    </row>
    <row r="219" spans="1:3" x14ac:dyDescent="0.25">
      <c r="A219" s="37">
        <v>4</v>
      </c>
      <c r="B219" s="37">
        <v>11</v>
      </c>
      <c r="C219" s="37">
        <v>10.5</v>
      </c>
    </row>
    <row r="220" spans="1:3" x14ac:dyDescent="0.25">
      <c r="A220" s="37">
        <v>5</v>
      </c>
      <c r="B220" s="37">
        <v>11</v>
      </c>
      <c r="C220" s="37">
        <v>10.34</v>
      </c>
    </row>
    <row r="221" spans="1:3" x14ac:dyDescent="0.25">
      <c r="A221" s="37">
        <v>6</v>
      </c>
      <c r="B221" s="37">
        <v>11</v>
      </c>
      <c r="C221" s="37">
        <v>10.199999999999999</v>
      </c>
    </row>
    <row r="222" spans="1:3" x14ac:dyDescent="0.25">
      <c r="A222" s="37">
        <v>7</v>
      </c>
      <c r="B222" s="37">
        <v>11</v>
      </c>
      <c r="C222" s="37">
        <v>10.050000000000001</v>
      </c>
    </row>
    <row r="223" spans="1:3" x14ac:dyDescent="0.25">
      <c r="A223" s="37">
        <v>8</v>
      </c>
      <c r="B223" s="37">
        <v>11</v>
      </c>
      <c r="C223" s="37">
        <v>9.91</v>
      </c>
    </row>
    <row r="224" spans="1:3" x14ac:dyDescent="0.25">
      <c r="A224" s="37">
        <v>9</v>
      </c>
      <c r="B224" s="37">
        <v>11</v>
      </c>
      <c r="C224" s="37">
        <v>9.76</v>
      </c>
    </row>
    <row r="225" spans="1:3" x14ac:dyDescent="0.25">
      <c r="A225" s="37">
        <v>10</v>
      </c>
      <c r="B225" s="37">
        <v>11</v>
      </c>
      <c r="C225" s="37">
        <v>9.6199999999999992</v>
      </c>
    </row>
    <row r="226" spans="1:3" x14ac:dyDescent="0.25">
      <c r="A226" s="37">
        <v>11</v>
      </c>
      <c r="B226" s="37">
        <v>11</v>
      </c>
      <c r="C226" s="37">
        <v>9.48</v>
      </c>
    </row>
    <row r="227" spans="1:3" x14ac:dyDescent="0.25">
      <c r="A227" s="37">
        <v>12</v>
      </c>
      <c r="B227" s="37">
        <v>11</v>
      </c>
      <c r="C227" s="37">
        <v>9.35</v>
      </c>
    </row>
    <row r="228" spans="1:3" x14ac:dyDescent="0.25">
      <c r="A228" s="37">
        <v>13</v>
      </c>
      <c r="B228" s="37">
        <v>11</v>
      </c>
      <c r="C228" s="37">
        <v>9.1999999999999993</v>
      </c>
    </row>
    <row r="229" spans="1:3" x14ac:dyDescent="0.25">
      <c r="A229" s="37">
        <v>14</v>
      </c>
      <c r="B229" s="37">
        <v>11</v>
      </c>
      <c r="C229" s="37">
        <v>9.06</v>
      </c>
    </row>
    <row r="230" spans="1:3" x14ac:dyDescent="0.25">
      <c r="A230" s="37">
        <v>15</v>
      </c>
      <c r="B230" s="37">
        <v>11</v>
      </c>
      <c r="C230" s="37">
        <v>8.94</v>
      </c>
    </row>
    <row r="231" spans="1:3" x14ac:dyDescent="0.25">
      <c r="A231" s="37">
        <v>16</v>
      </c>
      <c r="B231" s="37">
        <v>11</v>
      </c>
      <c r="C231" s="37">
        <v>8.8000000000000007</v>
      </c>
    </row>
    <row r="232" spans="1:3" x14ac:dyDescent="0.25">
      <c r="A232" s="37">
        <v>17</v>
      </c>
      <c r="B232" s="37">
        <v>11</v>
      </c>
      <c r="C232" s="37">
        <v>8.68</v>
      </c>
    </row>
    <row r="233" spans="1:3" x14ac:dyDescent="0.25">
      <c r="A233" s="37">
        <v>18</v>
      </c>
      <c r="B233" s="37">
        <v>11</v>
      </c>
      <c r="C233" s="37">
        <v>8.5500000000000007</v>
      </c>
    </row>
    <row r="234" spans="1:3" x14ac:dyDescent="0.25">
      <c r="A234" s="37">
        <v>19</v>
      </c>
      <c r="B234" s="37">
        <v>11</v>
      </c>
      <c r="C234" s="37">
        <v>8.42</v>
      </c>
    </row>
    <row r="235" spans="1:3" x14ac:dyDescent="0.25">
      <c r="A235" s="37">
        <v>20</v>
      </c>
      <c r="B235" s="37">
        <v>11</v>
      </c>
      <c r="C235" s="37">
        <v>8.3000000000000007</v>
      </c>
    </row>
    <row r="236" spans="1:3" x14ac:dyDescent="0.25">
      <c r="A236" s="37">
        <v>21</v>
      </c>
      <c r="B236" s="37">
        <v>11</v>
      </c>
      <c r="C236" s="37">
        <v>8.18</v>
      </c>
    </row>
    <row r="237" spans="1:3" x14ac:dyDescent="0.25">
      <c r="A237" s="37">
        <v>22</v>
      </c>
      <c r="B237" s="37">
        <v>11</v>
      </c>
      <c r="C237" s="37">
        <v>8.06</v>
      </c>
    </row>
    <row r="238" spans="1:3" x14ac:dyDescent="0.25">
      <c r="A238" s="37">
        <v>23</v>
      </c>
      <c r="B238" s="37">
        <v>11</v>
      </c>
      <c r="C238" s="37">
        <v>7.95</v>
      </c>
    </row>
    <row r="239" spans="1:3" x14ac:dyDescent="0.25">
      <c r="A239" s="37">
        <v>24</v>
      </c>
      <c r="B239" s="37">
        <v>11</v>
      </c>
      <c r="C239" s="37">
        <v>7.84</v>
      </c>
    </row>
    <row r="240" spans="1:3" x14ac:dyDescent="0.25">
      <c r="A240" s="37">
        <v>25</v>
      </c>
      <c r="B240" s="37">
        <v>11</v>
      </c>
      <c r="C240" s="37">
        <v>7.73</v>
      </c>
    </row>
    <row r="241" spans="1:3" x14ac:dyDescent="0.25">
      <c r="A241" s="37">
        <v>26</v>
      </c>
      <c r="B241" s="37">
        <v>11</v>
      </c>
      <c r="C241" s="37">
        <v>7.63</v>
      </c>
    </row>
    <row r="242" spans="1:3" x14ac:dyDescent="0.25">
      <c r="A242" s="37">
        <v>27</v>
      </c>
      <c r="B242" s="37">
        <v>11</v>
      </c>
      <c r="C242" s="37">
        <v>7.52</v>
      </c>
    </row>
    <row r="243" spans="1:3" x14ac:dyDescent="0.25">
      <c r="A243" s="37">
        <v>28</v>
      </c>
      <c r="B243" s="37">
        <v>11</v>
      </c>
      <c r="C243" s="37">
        <v>7.41</v>
      </c>
    </row>
    <row r="244" spans="1:3" x14ac:dyDescent="0.25">
      <c r="A244" s="37">
        <v>29</v>
      </c>
      <c r="B244" s="37">
        <v>11</v>
      </c>
      <c r="C244" s="37">
        <v>7.32</v>
      </c>
    </row>
    <row r="245" spans="1:3" x14ac:dyDescent="0.25">
      <c r="A245" s="37">
        <v>30</v>
      </c>
      <c r="B245" s="37">
        <v>11</v>
      </c>
      <c r="C245" s="37">
        <v>7.22</v>
      </c>
    </row>
    <row r="246" spans="1:3" x14ac:dyDescent="0.25">
      <c r="A246" s="37">
        <v>1</v>
      </c>
      <c r="B246" s="37">
        <v>12</v>
      </c>
      <c r="C246" s="37">
        <v>7.12</v>
      </c>
    </row>
    <row r="247" spans="1:3" x14ac:dyDescent="0.25">
      <c r="A247" s="37">
        <v>2</v>
      </c>
      <c r="B247" s="37">
        <v>12</v>
      </c>
      <c r="C247" s="37">
        <v>7.03</v>
      </c>
    </row>
    <row r="248" spans="1:3" x14ac:dyDescent="0.25">
      <c r="A248" s="37">
        <v>3</v>
      </c>
      <c r="B248" s="37">
        <v>12</v>
      </c>
      <c r="C248" s="37">
        <v>6.94</v>
      </c>
    </row>
    <row r="249" spans="1:3" x14ac:dyDescent="0.25">
      <c r="A249" s="37">
        <v>4</v>
      </c>
      <c r="B249" s="37">
        <v>12</v>
      </c>
      <c r="C249" s="37">
        <v>6.86</v>
      </c>
    </row>
    <row r="250" spans="1:3" x14ac:dyDescent="0.25">
      <c r="A250" s="37">
        <v>5</v>
      </c>
      <c r="B250" s="37">
        <v>12</v>
      </c>
      <c r="C250" s="37">
        <v>6.78</v>
      </c>
    </row>
    <row r="251" spans="1:3" x14ac:dyDescent="0.25">
      <c r="A251" s="37">
        <v>6</v>
      </c>
      <c r="B251" s="37">
        <v>12</v>
      </c>
      <c r="C251" s="37">
        <v>6.69</v>
      </c>
    </row>
    <row r="252" spans="1:3" x14ac:dyDescent="0.25">
      <c r="A252" s="37">
        <v>7</v>
      </c>
      <c r="B252" s="37">
        <v>12</v>
      </c>
      <c r="C252" s="37">
        <v>6.61</v>
      </c>
    </row>
    <row r="253" spans="1:3" x14ac:dyDescent="0.25">
      <c r="A253" s="37">
        <v>8</v>
      </c>
      <c r="B253" s="37">
        <v>12</v>
      </c>
      <c r="C253" s="37">
        <v>6.54</v>
      </c>
    </row>
    <row r="254" spans="1:3" x14ac:dyDescent="0.25">
      <c r="A254" s="37">
        <v>9</v>
      </c>
      <c r="B254" s="37">
        <v>12</v>
      </c>
      <c r="C254" s="37">
        <v>6.47</v>
      </c>
    </row>
    <row r="255" spans="1:3" x14ac:dyDescent="0.25">
      <c r="A255" s="37">
        <v>10</v>
      </c>
      <c r="B255" s="37">
        <v>12</v>
      </c>
      <c r="C255" s="37">
        <v>6.4</v>
      </c>
    </row>
    <row r="256" spans="1:3" x14ac:dyDescent="0.25">
      <c r="A256" s="37">
        <v>11</v>
      </c>
      <c r="B256" s="37">
        <v>12</v>
      </c>
      <c r="C256" s="37">
        <v>6.33</v>
      </c>
    </row>
    <row r="257" spans="1:3" x14ac:dyDescent="0.25">
      <c r="A257" s="37">
        <v>12</v>
      </c>
      <c r="B257" s="37">
        <v>12</v>
      </c>
      <c r="C257" s="37">
        <v>6.26</v>
      </c>
    </row>
    <row r="258" spans="1:3" x14ac:dyDescent="0.25">
      <c r="A258" s="37">
        <v>13</v>
      </c>
      <c r="B258" s="37">
        <v>12</v>
      </c>
      <c r="C258" s="37">
        <v>6.2</v>
      </c>
    </row>
    <row r="259" spans="1:3" x14ac:dyDescent="0.25">
      <c r="A259" s="37">
        <v>14</v>
      </c>
      <c r="B259" s="37">
        <v>12</v>
      </c>
      <c r="C259" s="37">
        <v>6.14</v>
      </c>
    </row>
    <row r="260" spans="1:3" x14ac:dyDescent="0.25">
      <c r="A260" s="37">
        <v>15</v>
      </c>
      <c r="B260" s="37">
        <v>12</v>
      </c>
      <c r="C260" s="37">
        <v>6.08</v>
      </c>
    </row>
    <row r="261" spans="1:3" x14ac:dyDescent="0.25">
      <c r="A261" s="37">
        <v>16</v>
      </c>
      <c r="B261" s="37">
        <v>12</v>
      </c>
      <c r="C261" s="37">
        <v>6.02</v>
      </c>
    </row>
    <row r="262" spans="1:3" x14ac:dyDescent="0.25">
      <c r="A262" s="37">
        <v>17</v>
      </c>
      <c r="B262" s="37">
        <v>12</v>
      </c>
      <c r="C262" s="37">
        <v>5.97</v>
      </c>
    </row>
    <row r="263" spans="1:3" x14ac:dyDescent="0.25">
      <c r="A263" s="37">
        <v>18</v>
      </c>
      <c r="B263" s="37">
        <v>12</v>
      </c>
      <c r="C263" s="37">
        <v>5.92</v>
      </c>
    </row>
    <row r="264" spans="1:3" x14ac:dyDescent="0.25">
      <c r="A264" s="37">
        <v>19</v>
      </c>
      <c r="B264" s="37">
        <v>12</v>
      </c>
      <c r="C264" s="37">
        <v>5.87</v>
      </c>
    </row>
    <row r="265" spans="1:3" x14ac:dyDescent="0.25">
      <c r="A265" s="37">
        <v>20</v>
      </c>
      <c r="B265" s="37">
        <v>12</v>
      </c>
      <c r="C265" s="37">
        <v>5.82</v>
      </c>
    </row>
    <row r="266" spans="1:3" x14ac:dyDescent="0.25">
      <c r="A266" s="37">
        <v>21</v>
      </c>
      <c r="B266" s="37">
        <v>12</v>
      </c>
      <c r="C266" s="37">
        <v>5.77</v>
      </c>
    </row>
    <row r="267" spans="1:3" x14ac:dyDescent="0.25">
      <c r="A267" s="37">
        <v>22</v>
      </c>
      <c r="B267" s="37">
        <v>12</v>
      </c>
      <c r="C267" s="37">
        <v>5.72</v>
      </c>
    </row>
    <row r="268" spans="1:3" x14ac:dyDescent="0.25">
      <c r="A268" s="37">
        <v>23</v>
      </c>
      <c r="B268" s="37">
        <v>12</v>
      </c>
      <c r="C268" s="37">
        <v>5.68</v>
      </c>
    </row>
    <row r="269" spans="1:3" x14ac:dyDescent="0.25">
      <c r="A269" s="37">
        <v>24</v>
      </c>
      <c r="B269" s="37">
        <v>12</v>
      </c>
      <c r="C269" s="37">
        <v>5.64</v>
      </c>
    </row>
    <row r="270" spans="1:3" x14ac:dyDescent="0.25">
      <c r="A270" s="37">
        <v>25</v>
      </c>
      <c r="B270" s="37">
        <v>12</v>
      </c>
      <c r="C270" s="37">
        <v>5.6</v>
      </c>
    </row>
    <row r="271" spans="1:3" x14ac:dyDescent="0.25">
      <c r="A271" s="37">
        <v>26</v>
      </c>
      <c r="B271" s="37">
        <v>12</v>
      </c>
      <c r="C271" s="37">
        <v>5.56</v>
      </c>
    </row>
    <row r="272" spans="1:3" x14ac:dyDescent="0.25">
      <c r="A272" s="37">
        <v>27</v>
      </c>
      <c r="B272" s="37">
        <v>12</v>
      </c>
      <c r="C272" s="37">
        <v>5.52</v>
      </c>
    </row>
    <row r="273" spans="1:3" x14ac:dyDescent="0.25">
      <c r="A273" s="37">
        <v>28</v>
      </c>
      <c r="B273" s="37">
        <v>12</v>
      </c>
      <c r="C273" s="37">
        <v>5.49</v>
      </c>
    </row>
    <row r="274" spans="1:3" x14ac:dyDescent="0.25">
      <c r="A274" s="37">
        <v>29</v>
      </c>
      <c r="B274" s="37">
        <v>12</v>
      </c>
      <c r="C274" s="37">
        <v>5.46</v>
      </c>
    </row>
    <row r="275" spans="1:3" x14ac:dyDescent="0.25">
      <c r="A275" s="37">
        <v>30</v>
      </c>
      <c r="B275" s="37">
        <v>12</v>
      </c>
      <c r="C275" s="37">
        <v>5.43</v>
      </c>
    </row>
    <row r="276" spans="1:3" x14ac:dyDescent="0.25">
      <c r="A276" s="37">
        <v>31</v>
      </c>
      <c r="B276" s="37">
        <v>12</v>
      </c>
      <c r="C276" s="37">
        <v>5.39</v>
      </c>
    </row>
    <row r="277" spans="1:3" x14ac:dyDescent="0.25">
      <c r="A277" s="37">
        <v>1</v>
      </c>
      <c r="B277" s="37">
        <v>1</v>
      </c>
      <c r="C277" s="37">
        <v>5.37</v>
      </c>
    </row>
    <row r="278" spans="1:3" x14ac:dyDescent="0.25">
      <c r="A278" s="37">
        <v>2</v>
      </c>
      <c r="B278" s="37">
        <v>1</v>
      </c>
      <c r="C278" s="37">
        <v>5.34</v>
      </c>
    </row>
    <row r="279" spans="1:3" x14ac:dyDescent="0.25">
      <c r="A279" s="37">
        <v>3</v>
      </c>
      <c r="B279" s="37">
        <v>1</v>
      </c>
      <c r="C279" s="37">
        <v>5.32</v>
      </c>
    </row>
    <row r="280" spans="1:3" x14ac:dyDescent="0.25">
      <c r="A280" s="37">
        <v>4</v>
      </c>
      <c r="B280" s="37">
        <v>1</v>
      </c>
      <c r="C280" s="37">
        <v>5.29</v>
      </c>
    </row>
    <row r="281" spans="1:3" x14ac:dyDescent="0.25">
      <c r="A281" s="37">
        <v>5</v>
      </c>
      <c r="B281" s="37">
        <v>1</v>
      </c>
      <c r="C281" s="37">
        <v>5.27</v>
      </c>
    </row>
    <row r="282" spans="1:3" x14ac:dyDescent="0.25">
      <c r="A282" s="37">
        <v>6</v>
      </c>
      <c r="B282" s="37">
        <v>1</v>
      </c>
      <c r="C282" s="37">
        <v>5.24</v>
      </c>
    </row>
    <row r="283" spans="1:3" x14ac:dyDescent="0.25">
      <c r="A283" s="37">
        <v>7</v>
      </c>
      <c r="B283" s="37">
        <v>1</v>
      </c>
      <c r="C283" s="37">
        <v>5.22</v>
      </c>
    </row>
    <row r="284" spans="1:3" x14ac:dyDescent="0.25">
      <c r="A284" s="37">
        <v>8</v>
      </c>
      <c r="B284" s="37">
        <v>1</v>
      </c>
      <c r="C284" s="37">
        <v>5.2</v>
      </c>
    </row>
    <row r="285" spans="1:3" x14ac:dyDescent="0.25">
      <c r="A285" s="37">
        <v>9</v>
      </c>
      <c r="B285" s="37">
        <v>1</v>
      </c>
      <c r="C285" s="37">
        <v>5.18</v>
      </c>
    </row>
    <row r="286" spans="1:3" x14ac:dyDescent="0.25">
      <c r="A286" s="37">
        <v>10</v>
      </c>
      <c r="B286" s="37">
        <v>1</v>
      </c>
      <c r="C286" s="37">
        <v>5.16</v>
      </c>
    </row>
    <row r="287" spans="1:3" x14ac:dyDescent="0.25">
      <c r="A287" s="37">
        <v>11</v>
      </c>
      <c r="B287" s="37">
        <v>1</v>
      </c>
      <c r="C287" s="37">
        <v>5.15</v>
      </c>
    </row>
    <row r="288" spans="1:3" x14ac:dyDescent="0.25">
      <c r="A288" s="37">
        <v>12</v>
      </c>
      <c r="B288" s="37">
        <v>1</v>
      </c>
      <c r="C288" s="37">
        <v>5.13</v>
      </c>
    </row>
    <row r="289" spans="1:3" x14ac:dyDescent="0.25">
      <c r="A289" s="37">
        <v>13</v>
      </c>
      <c r="B289" s="37">
        <v>1</v>
      </c>
      <c r="C289" s="37">
        <v>5.12</v>
      </c>
    </row>
    <row r="290" spans="1:3" x14ac:dyDescent="0.25">
      <c r="A290" s="37">
        <v>14</v>
      </c>
      <c r="B290" s="37">
        <v>1</v>
      </c>
      <c r="C290" s="37">
        <v>5.1100000000000003</v>
      </c>
    </row>
    <row r="291" spans="1:3" x14ac:dyDescent="0.25">
      <c r="A291" s="37">
        <v>15</v>
      </c>
      <c r="B291" s="37">
        <v>1</v>
      </c>
      <c r="C291" s="37">
        <v>5.0999999999999996</v>
      </c>
    </row>
    <row r="292" spans="1:3" x14ac:dyDescent="0.25">
      <c r="A292" s="37">
        <v>16</v>
      </c>
      <c r="B292" s="37">
        <v>1</v>
      </c>
      <c r="C292" s="37">
        <v>5.0999999999999996</v>
      </c>
    </row>
    <row r="293" spans="1:3" x14ac:dyDescent="0.25">
      <c r="A293" s="37">
        <v>17</v>
      </c>
      <c r="B293" s="37">
        <v>1</v>
      </c>
      <c r="C293" s="37">
        <v>5.09</v>
      </c>
    </row>
    <row r="294" spans="1:3" x14ac:dyDescent="0.25">
      <c r="A294" s="37">
        <v>18</v>
      </c>
      <c r="B294" s="37">
        <v>1</v>
      </c>
      <c r="C294" s="37">
        <v>5.08</v>
      </c>
    </row>
    <row r="295" spans="1:3" x14ac:dyDescent="0.25">
      <c r="A295" s="37">
        <v>19</v>
      </c>
      <c r="B295" s="37">
        <v>1</v>
      </c>
      <c r="C295" s="37">
        <v>5.07</v>
      </c>
    </row>
    <row r="296" spans="1:3" x14ac:dyDescent="0.25">
      <c r="A296" s="37">
        <v>20</v>
      </c>
      <c r="B296" s="37">
        <v>1</v>
      </c>
      <c r="C296" s="37">
        <v>5.0599999999999996</v>
      </c>
    </row>
    <row r="297" spans="1:3" x14ac:dyDescent="0.25">
      <c r="A297" s="37">
        <v>21</v>
      </c>
      <c r="B297" s="37">
        <v>1</v>
      </c>
      <c r="C297" s="37">
        <v>5.0599999999999996</v>
      </c>
    </row>
    <row r="298" spans="1:3" x14ac:dyDescent="0.25">
      <c r="A298" s="37">
        <v>22</v>
      </c>
      <c r="B298" s="37">
        <v>1</v>
      </c>
      <c r="C298" s="37">
        <v>5.07</v>
      </c>
    </row>
    <row r="299" spans="1:3" x14ac:dyDescent="0.25">
      <c r="A299" s="37">
        <v>23</v>
      </c>
      <c r="B299" s="37">
        <v>1</v>
      </c>
      <c r="C299" s="37">
        <v>5.07</v>
      </c>
    </row>
    <row r="300" spans="1:3" x14ac:dyDescent="0.25">
      <c r="A300" s="37">
        <v>24</v>
      </c>
      <c r="B300" s="37">
        <v>1</v>
      </c>
      <c r="C300" s="37">
        <v>5.08</v>
      </c>
    </row>
    <row r="301" spans="1:3" x14ac:dyDescent="0.25">
      <c r="A301" s="37">
        <v>25</v>
      </c>
      <c r="B301" s="37">
        <v>1</v>
      </c>
      <c r="C301" s="37">
        <v>5.08</v>
      </c>
    </row>
    <row r="302" spans="1:3" x14ac:dyDescent="0.25">
      <c r="A302" s="37">
        <v>26</v>
      </c>
      <c r="B302" s="37">
        <v>1</v>
      </c>
      <c r="C302" s="37">
        <v>5.09</v>
      </c>
    </row>
    <row r="303" spans="1:3" x14ac:dyDescent="0.25">
      <c r="A303" s="37">
        <v>27</v>
      </c>
      <c r="B303" s="37">
        <v>1</v>
      </c>
      <c r="C303" s="37">
        <v>5.0999999999999996</v>
      </c>
    </row>
    <row r="304" spans="1:3" x14ac:dyDescent="0.25">
      <c r="A304" s="37">
        <v>28</v>
      </c>
      <c r="B304" s="37">
        <v>1</v>
      </c>
      <c r="C304" s="37">
        <v>5.1100000000000003</v>
      </c>
    </row>
    <row r="305" spans="1:3" x14ac:dyDescent="0.25">
      <c r="A305" s="37">
        <v>29</v>
      </c>
      <c r="B305" s="37">
        <v>1</v>
      </c>
      <c r="C305" s="37">
        <v>5.12</v>
      </c>
    </row>
    <row r="306" spans="1:3" x14ac:dyDescent="0.25">
      <c r="A306" s="37">
        <v>30</v>
      </c>
      <c r="B306" s="37">
        <v>1</v>
      </c>
      <c r="C306" s="37">
        <v>5.14</v>
      </c>
    </row>
    <row r="307" spans="1:3" x14ac:dyDescent="0.25">
      <c r="A307" s="37">
        <v>31</v>
      </c>
      <c r="B307" s="37">
        <v>1</v>
      </c>
      <c r="C307" s="37">
        <v>5.16</v>
      </c>
    </row>
    <row r="308" spans="1:3" x14ac:dyDescent="0.25">
      <c r="A308" s="37">
        <v>1</v>
      </c>
      <c r="B308" s="37">
        <v>2</v>
      </c>
      <c r="C308" s="37">
        <v>5.17</v>
      </c>
    </row>
    <row r="309" spans="1:3" x14ac:dyDescent="0.25">
      <c r="A309" s="37">
        <v>2</v>
      </c>
      <c r="B309" s="37">
        <v>2</v>
      </c>
      <c r="C309" s="37">
        <v>5.2</v>
      </c>
    </row>
    <row r="310" spans="1:3" x14ac:dyDescent="0.25">
      <c r="A310" s="37">
        <v>3</v>
      </c>
      <c r="B310" s="37">
        <v>2</v>
      </c>
      <c r="C310" s="37">
        <v>5.23</v>
      </c>
    </row>
    <row r="311" spans="1:3" x14ac:dyDescent="0.25">
      <c r="A311" s="37">
        <v>4</v>
      </c>
      <c r="B311" s="37">
        <v>2</v>
      </c>
      <c r="C311" s="37">
        <v>5.25</v>
      </c>
    </row>
    <row r="312" spans="1:3" x14ac:dyDescent="0.25">
      <c r="A312" s="37">
        <v>5</v>
      </c>
      <c r="B312" s="37">
        <v>2</v>
      </c>
      <c r="C312" s="37">
        <v>5.28</v>
      </c>
    </row>
    <row r="313" spans="1:3" x14ac:dyDescent="0.25">
      <c r="A313" s="37">
        <v>6</v>
      </c>
      <c r="B313" s="37">
        <v>2</v>
      </c>
      <c r="C313" s="37">
        <v>5.31</v>
      </c>
    </row>
    <row r="314" spans="1:3" x14ac:dyDescent="0.25">
      <c r="A314" s="37">
        <v>7</v>
      </c>
      <c r="B314" s="37">
        <v>2</v>
      </c>
      <c r="C314" s="37">
        <v>5.34</v>
      </c>
    </row>
    <row r="315" spans="1:3" x14ac:dyDescent="0.25">
      <c r="A315" s="37">
        <v>8</v>
      </c>
      <c r="B315" s="37">
        <v>2</v>
      </c>
      <c r="C315" s="37">
        <v>5.38</v>
      </c>
    </row>
    <row r="316" spans="1:3" x14ac:dyDescent="0.25">
      <c r="A316" s="37">
        <v>9</v>
      </c>
      <c r="B316" s="37">
        <v>2</v>
      </c>
      <c r="C316" s="37">
        <v>5.42</v>
      </c>
    </row>
    <row r="317" spans="1:3" x14ac:dyDescent="0.25">
      <c r="A317" s="37">
        <v>10</v>
      </c>
      <c r="B317" s="37">
        <v>2</v>
      </c>
      <c r="C317" s="37">
        <v>5.46</v>
      </c>
    </row>
    <row r="318" spans="1:3" x14ac:dyDescent="0.25">
      <c r="A318" s="37">
        <v>11</v>
      </c>
      <c r="B318" s="37">
        <v>2</v>
      </c>
      <c r="C318" s="37">
        <v>5.51</v>
      </c>
    </row>
    <row r="319" spans="1:3" x14ac:dyDescent="0.25">
      <c r="A319" s="37">
        <v>12</v>
      </c>
      <c r="B319" s="37">
        <v>2</v>
      </c>
      <c r="C319" s="37">
        <v>5.56</v>
      </c>
    </row>
    <row r="320" spans="1:3" x14ac:dyDescent="0.25">
      <c r="A320" s="37">
        <v>13</v>
      </c>
      <c r="B320" s="37">
        <v>2</v>
      </c>
      <c r="C320" s="37">
        <v>5.6</v>
      </c>
    </row>
    <row r="321" spans="1:3" x14ac:dyDescent="0.25">
      <c r="A321" s="37">
        <v>14</v>
      </c>
      <c r="B321" s="37">
        <v>2</v>
      </c>
      <c r="C321" s="37">
        <v>5.67</v>
      </c>
    </row>
    <row r="322" spans="1:3" x14ac:dyDescent="0.25">
      <c r="A322" s="37">
        <v>15</v>
      </c>
      <c r="B322" s="37">
        <v>2</v>
      </c>
      <c r="C322" s="37">
        <v>5.72</v>
      </c>
    </row>
    <row r="323" spans="1:3" x14ac:dyDescent="0.25">
      <c r="A323" s="37">
        <v>16</v>
      </c>
      <c r="B323" s="37">
        <v>2</v>
      </c>
      <c r="C323" s="37">
        <v>5.77</v>
      </c>
    </row>
    <row r="324" spans="1:3" x14ac:dyDescent="0.25">
      <c r="A324" s="37">
        <v>17</v>
      </c>
      <c r="B324" s="37">
        <v>2</v>
      </c>
      <c r="C324" s="37">
        <v>5.85</v>
      </c>
    </row>
    <row r="325" spans="1:3" x14ac:dyDescent="0.25">
      <c r="A325" s="37">
        <v>18</v>
      </c>
      <c r="B325" s="37">
        <v>2</v>
      </c>
      <c r="C325" s="37">
        <v>5.91</v>
      </c>
    </row>
    <row r="326" spans="1:3" x14ac:dyDescent="0.25">
      <c r="A326" s="37">
        <v>19</v>
      </c>
      <c r="B326" s="37">
        <v>2</v>
      </c>
      <c r="C326" s="37">
        <v>5.97</v>
      </c>
    </row>
    <row r="327" spans="1:3" x14ac:dyDescent="0.25">
      <c r="A327" s="37">
        <v>20</v>
      </c>
      <c r="B327" s="37">
        <v>2</v>
      </c>
      <c r="C327" s="37">
        <v>6.05</v>
      </c>
    </row>
    <row r="328" spans="1:3" x14ac:dyDescent="0.25">
      <c r="A328" s="37">
        <v>21</v>
      </c>
      <c r="B328" s="37">
        <v>2</v>
      </c>
      <c r="C328" s="37">
        <v>6.12</v>
      </c>
    </row>
    <row r="329" spans="1:3" x14ac:dyDescent="0.25">
      <c r="A329" s="37">
        <v>22</v>
      </c>
      <c r="B329" s="37">
        <v>2</v>
      </c>
      <c r="C329" s="37">
        <v>6.2</v>
      </c>
    </row>
    <row r="330" spans="1:3" x14ac:dyDescent="0.25">
      <c r="A330" s="37">
        <v>23</v>
      </c>
      <c r="B330" s="37">
        <v>2</v>
      </c>
      <c r="C330" s="37">
        <v>6.28</v>
      </c>
    </row>
    <row r="331" spans="1:3" x14ac:dyDescent="0.25">
      <c r="A331" s="37">
        <v>24</v>
      </c>
      <c r="B331" s="37">
        <v>2</v>
      </c>
      <c r="C331" s="37">
        <v>6.36</v>
      </c>
    </row>
    <row r="332" spans="1:3" x14ac:dyDescent="0.25">
      <c r="A332" s="37">
        <v>25</v>
      </c>
      <c r="B332" s="37">
        <v>2</v>
      </c>
      <c r="C332" s="37">
        <v>6.45</v>
      </c>
    </row>
    <row r="333" spans="1:3" x14ac:dyDescent="0.25">
      <c r="A333" s="37">
        <v>26</v>
      </c>
      <c r="B333" s="37">
        <v>2</v>
      </c>
      <c r="C333" s="37">
        <v>6.53</v>
      </c>
    </row>
    <row r="334" spans="1:3" x14ac:dyDescent="0.25">
      <c r="A334" s="37">
        <v>27</v>
      </c>
      <c r="B334" s="37">
        <v>2</v>
      </c>
      <c r="C334" s="37">
        <v>6.62</v>
      </c>
    </row>
    <row r="335" spans="1:3" x14ac:dyDescent="0.25">
      <c r="A335" s="37">
        <v>28</v>
      </c>
      <c r="B335" s="37">
        <v>2</v>
      </c>
      <c r="C335" s="37">
        <v>6.71</v>
      </c>
    </row>
    <row r="336" spans="1:3" x14ac:dyDescent="0.25">
      <c r="A336" s="37">
        <v>1</v>
      </c>
      <c r="B336" s="37">
        <v>3</v>
      </c>
      <c r="C336" s="37">
        <v>6.81</v>
      </c>
    </row>
    <row r="337" spans="1:3" x14ac:dyDescent="0.25">
      <c r="A337" s="37">
        <v>2</v>
      </c>
      <c r="B337" s="37">
        <v>3</v>
      </c>
      <c r="C337" s="37">
        <v>6.9</v>
      </c>
    </row>
    <row r="338" spans="1:3" x14ac:dyDescent="0.25">
      <c r="A338" s="37">
        <v>3</v>
      </c>
      <c r="B338" s="37">
        <v>3</v>
      </c>
      <c r="C338" s="37">
        <v>7</v>
      </c>
    </row>
    <row r="339" spans="1:3" x14ac:dyDescent="0.25">
      <c r="A339" s="37">
        <v>4</v>
      </c>
      <c r="B339" s="37">
        <v>3</v>
      </c>
      <c r="C339" s="37">
        <v>7.11</v>
      </c>
    </row>
    <row r="340" spans="1:3" x14ac:dyDescent="0.25">
      <c r="A340" s="37">
        <v>5</v>
      </c>
      <c r="B340" s="37">
        <v>3</v>
      </c>
      <c r="C340" s="37">
        <v>7.21</v>
      </c>
    </row>
    <row r="341" spans="1:3" x14ac:dyDescent="0.25">
      <c r="A341" s="37">
        <v>6</v>
      </c>
      <c r="B341" s="37">
        <v>3</v>
      </c>
      <c r="C341" s="37">
        <v>7.32</v>
      </c>
    </row>
    <row r="342" spans="1:3" x14ac:dyDescent="0.25">
      <c r="A342" s="37">
        <v>7</v>
      </c>
      <c r="B342" s="37">
        <v>3</v>
      </c>
      <c r="C342" s="37">
        <v>7.42</v>
      </c>
    </row>
    <row r="343" spans="1:3" x14ac:dyDescent="0.25">
      <c r="A343" s="37">
        <v>8</v>
      </c>
      <c r="B343" s="37">
        <v>3</v>
      </c>
      <c r="C343" s="37">
        <v>7.53</v>
      </c>
    </row>
    <row r="344" spans="1:3" x14ac:dyDescent="0.25">
      <c r="A344" s="37">
        <v>9</v>
      </c>
      <c r="B344" s="37">
        <v>3</v>
      </c>
      <c r="C344" s="37">
        <v>7.65</v>
      </c>
    </row>
    <row r="345" spans="1:3" x14ac:dyDescent="0.25">
      <c r="A345" s="37">
        <v>10</v>
      </c>
      <c r="B345" s="37">
        <v>3</v>
      </c>
      <c r="C345" s="37">
        <v>7.76</v>
      </c>
    </row>
    <row r="346" spans="1:3" x14ac:dyDescent="0.25">
      <c r="A346" s="37">
        <v>11</v>
      </c>
      <c r="B346" s="37">
        <v>3</v>
      </c>
      <c r="C346" s="37">
        <v>7.88</v>
      </c>
    </row>
    <row r="347" spans="1:3" x14ac:dyDescent="0.25">
      <c r="A347" s="37">
        <v>12</v>
      </c>
      <c r="B347" s="37">
        <v>3</v>
      </c>
      <c r="C347" s="37">
        <v>7.99</v>
      </c>
    </row>
    <row r="348" spans="1:3" x14ac:dyDescent="0.25">
      <c r="A348" s="37">
        <v>13</v>
      </c>
      <c r="B348" s="37">
        <v>3</v>
      </c>
      <c r="C348" s="37">
        <v>8.1199999999999992</v>
      </c>
    </row>
    <row r="349" spans="1:3" x14ac:dyDescent="0.25">
      <c r="A349" s="37">
        <v>14</v>
      </c>
      <c r="B349" s="37">
        <v>3</v>
      </c>
      <c r="C349" s="37">
        <v>8.23</v>
      </c>
    </row>
    <row r="350" spans="1:3" x14ac:dyDescent="0.25">
      <c r="A350" s="37">
        <v>15</v>
      </c>
      <c r="B350" s="37">
        <v>3</v>
      </c>
      <c r="C350" s="37">
        <v>8.36</v>
      </c>
    </row>
    <row r="351" spans="1:3" x14ac:dyDescent="0.25">
      <c r="A351" s="37">
        <v>16</v>
      </c>
      <c r="B351" s="37">
        <v>3</v>
      </c>
      <c r="C351" s="37">
        <v>8.48</v>
      </c>
    </row>
    <row r="352" spans="1:3" x14ac:dyDescent="0.25">
      <c r="A352" s="37">
        <v>17</v>
      </c>
      <c r="B352" s="37">
        <v>3</v>
      </c>
      <c r="C352" s="37">
        <v>8.59</v>
      </c>
    </row>
    <row r="353" spans="1:3" x14ac:dyDescent="0.25">
      <c r="A353" s="37">
        <v>18</v>
      </c>
      <c r="B353" s="37">
        <v>3</v>
      </c>
      <c r="C353" s="37">
        <v>8.7200000000000006</v>
      </c>
    </row>
    <row r="354" spans="1:3" x14ac:dyDescent="0.25">
      <c r="A354" s="37">
        <v>19</v>
      </c>
      <c r="B354" s="37">
        <v>3</v>
      </c>
      <c r="C354" s="37">
        <v>8.84</v>
      </c>
    </row>
    <row r="355" spans="1:3" x14ac:dyDescent="0.25">
      <c r="A355" s="37">
        <v>20</v>
      </c>
      <c r="B355" s="37">
        <v>3</v>
      </c>
      <c r="C355" s="37">
        <v>8.9700000000000006</v>
      </c>
    </row>
    <row r="356" spans="1:3" x14ac:dyDescent="0.25">
      <c r="A356" s="37">
        <v>21</v>
      </c>
      <c r="B356" s="37">
        <v>3</v>
      </c>
      <c r="C356" s="37">
        <v>9.1</v>
      </c>
    </row>
    <row r="357" spans="1:3" x14ac:dyDescent="0.25">
      <c r="A357" s="37">
        <v>22</v>
      </c>
      <c r="B357" s="37">
        <v>3</v>
      </c>
      <c r="C357" s="37">
        <v>9.2200000000000006</v>
      </c>
    </row>
    <row r="358" spans="1:3" x14ac:dyDescent="0.25">
      <c r="A358" s="37">
        <v>23</v>
      </c>
      <c r="B358" s="37">
        <v>3</v>
      </c>
      <c r="C358" s="37">
        <v>9.35</v>
      </c>
    </row>
    <row r="359" spans="1:3" x14ac:dyDescent="0.25">
      <c r="A359" s="37">
        <v>24</v>
      </c>
      <c r="B359" s="37">
        <v>3</v>
      </c>
      <c r="C359" s="37">
        <v>9.48</v>
      </c>
    </row>
    <row r="360" spans="1:3" x14ac:dyDescent="0.25">
      <c r="A360" s="37">
        <v>25</v>
      </c>
      <c r="B360" s="37">
        <v>3</v>
      </c>
      <c r="C360" s="37">
        <v>9.61</v>
      </c>
    </row>
    <row r="361" spans="1:3" x14ac:dyDescent="0.25">
      <c r="A361" s="37">
        <v>26</v>
      </c>
      <c r="B361" s="37">
        <v>3</v>
      </c>
      <c r="C361" s="37">
        <v>9.73</v>
      </c>
    </row>
    <row r="362" spans="1:3" x14ac:dyDescent="0.25">
      <c r="A362" s="37">
        <v>27</v>
      </c>
      <c r="B362" s="37">
        <v>3</v>
      </c>
      <c r="C362" s="37">
        <v>9.86</v>
      </c>
    </row>
    <row r="363" spans="1:3" x14ac:dyDescent="0.25">
      <c r="A363" s="37">
        <v>28</v>
      </c>
      <c r="B363" s="37">
        <v>3</v>
      </c>
      <c r="C363" s="37">
        <v>9.98</v>
      </c>
    </row>
    <row r="364" spans="1:3" x14ac:dyDescent="0.25">
      <c r="A364" s="37">
        <v>29</v>
      </c>
      <c r="B364" s="37">
        <v>3</v>
      </c>
      <c r="C364" s="37">
        <v>10.11</v>
      </c>
    </row>
    <row r="365" spans="1:3" x14ac:dyDescent="0.25">
      <c r="A365" s="37">
        <v>30</v>
      </c>
      <c r="B365" s="37">
        <v>3</v>
      </c>
      <c r="C365" s="37">
        <v>10.23</v>
      </c>
    </row>
    <row r="366" spans="1:3" x14ac:dyDescent="0.25">
      <c r="A366" s="37">
        <v>31</v>
      </c>
      <c r="B366" s="37">
        <v>3</v>
      </c>
      <c r="C366" s="37">
        <v>10.36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66"/>
  <sheetViews>
    <sheetView zoomScaleNormal="100" workbookViewId="0">
      <pane ySplit="1" topLeftCell="A35" activePane="bottomLeft" state="frozen"/>
      <selection pane="bottomLeft" activeCell="H27" sqref="H27"/>
    </sheetView>
  </sheetViews>
  <sheetFormatPr baseColWidth="10" defaultColWidth="11.453125" defaultRowHeight="12.5" x14ac:dyDescent="0.25"/>
  <cols>
    <col min="1" max="2" width="15.54296875" style="30" customWidth="1"/>
    <col min="3" max="3" width="15.54296875" style="32" customWidth="1"/>
    <col min="4" max="16384" width="11.453125" style="29"/>
  </cols>
  <sheetData>
    <row r="1" spans="1:3" ht="26.25" customHeight="1" x14ac:dyDescent="0.25">
      <c r="A1" s="35" t="s">
        <v>128</v>
      </c>
      <c r="B1" s="35" t="s">
        <v>62</v>
      </c>
      <c r="C1" s="36" t="s">
        <v>129</v>
      </c>
    </row>
    <row r="2" spans="1:3" x14ac:dyDescent="0.25">
      <c r="A2" s="37">
        <v>1</v>
      </c>
      <c r="B2" s="37">
        <v>1</v>
      </c>
      <c r="C2" s="37">
        <v>5.37</v>
      </c>
    </row>
    <row r="3" spans="1:3" x14ac:dyDescent="0.25">
      <c r="A3" s="37">
        <v>2</v>
      </c>
      <c r="B3" s="37">
        <v>1</v>
      </c>
      <c r="C3" s="37">
        <v>5.34</v>
      </c>
    </row>
    <row r="4" spans="1:3" x14ac:dyDescent="0.25">
      <c r="A4" s="37">
        <v>3</v>
      </c>
      <c r="B4" s="37">
        <v>1</v>
      </c>
      <c r="C4" s="37">
        <v>5.32</v>
      </c>
    </row>
    <row r="5" spans="1:3" x14ac:dyDescent="0.25">
      <c r="A5" s="37">
        <v>4</v>
      </c>
      <c r="B5" s="37">
        <v>1</v>
      </c>
      <c r="C5" s="37">
        <v>5.29</v>
      </c>
    </row>
    <row r="6" spans="1:3" x14ac:dyDescent="0.25">
      <c r="A6" s="37">
        <v>5</v>
      </c>
      <c r="B6" s="37">
        <v>1</v>
      </c>
      <c r="C6" s="37">
        <v>5.27</v>
      </c>
    </row>
    <row r="7" spans="1:3" x14ac:dyDescent="0.25">
      <c r="A7" s="37">
        <v>6</v>
      </c>
      <c r="B7" s="37">
        <v>1</v>
      </c>
      <c r="C7" s="37">
        <v>5.24</v>
      </c>
    </row>
    <row r="8" spans="1:3" x14ac:dyDescent="0.25">
      <c r="A8" s="37">
        <v>7</v>
      </c>
      <c r="B8" s="37">
        <v>1</v>
      </c>
      <c r="C8" s="37">
        <v>5.22</v>
      </c>
    </row>
    <row r="9" spans="1:3" x14ac:dyDescent="0.25">
      <c r="A9" s="37">
        <v>8</v>
      </c>
      <c r="B9" s="37">
        <v>1</v>
      </c>
      <c r="C9" s="37">
        <v>5.2</v>
      </c>
    </row>
    <row r="10" spans="1:3" x14ac:dyDescent="0.25">
      <c r="A10" s="37">
        <v>9</v>
      </c>
      <c r="B10" s="37">
        <v>1</v>
      </c>
      <c r="C10" s="37">
        <v>5.18</v>
      </c>
    </row>
    <row r="11" spans="1:3" x14ac:dyDescent="0.25">
      <c r="A11" s="37">
        <v>10</v>
      </c>
      <c r="B11" s="37">
        <v>1</v>
      </c>
      <c r="C11" s="37">
        <v>5.16</v>
      </c>
    </row>
    <row r="12" spans="1:3" x14ac:dyDescent="0.25">
      <c r="A12" s="37">
        <v>11</v>
      </c>
      <c r="B12" s="37">
        <v>1</v>
      </c>
      <c r="C12" s="37">
        <v>5.15</v>
      </c>
    </row>
    <row r="13" spans="1:3" x14ac:dyDescent="0.25">
      <c r="A13" s="37">
        <v>12</v>
      </c>
      <c r="B13" s="37">
        <v>1</v>
      </c>
      <c r="C13" s="37">
        <v>5.13</v>
      </c>
    </row>
    <row r="14" spans="1:3" x14ac:dyDescent="0.25">
      <c r="A14" s="37">
        <v>13</v>
      </c>
      <c r="B14" s="37">
        <v>1</v>
      </c>
      <c r="C14" s="37">
        <v>5.12</v>
      </c>
    </row>
    <row r="15" spans="1:3" x14ac:dyDescent="0.25">
      <c r="A15" s="37">
        <v>14</v>
      </c>
      <c r="B15" s="37">
        <v>1</v>
      </c>
      <c r="C15" s="37">
        <v>5.1100000000000003</v>
      </c>
    </row>
    <row r="16" spans="1:3" x14ac:dyDescent="0.25">
      <c r="A16" s="37">
        <v>15</v>
      </c>
      <c r="B16" s="37">
        <v>1</v>
      </c>
      <c r="C16" s="37">
        <v>5.0999999999999996</v>
      </c>
    </row>
    <row r="17" spans="1:3" x14ac:dyDescent="0.25">
      <c r="A17" s="37">
        <v>16</v>
      </c>
      <c r="B17" s="37">
        <v>1</v>
      </c>
      <c r="C17" s="37">
        <v>5.0999999999999996</v>
      </c>
    </row>
    <row r="18" spans="1:3" x14ac:dyDescent="0.25">
      <c r="A18" s="37">
        <v>17</v>
      </c>
      <c r="B18" s="37">
        <v>1</v>
      </c>
      <c r="C18" s="37">
        <v>5.09</v>
      </c>
    </row>
    <row r="19" spans="1:3" x14ac:dyDescent="0.25">
      <c r="A19" s="37">
        <v>18</v>
      </c>
      <c r="B19" s="37">
        <v>1</v>
      </c>
      <c r="C19" s="37">
        <v>5.08</v>
      </c>
    </row>
    <row r="20" spans="1:3" x14ac:dyDescent="0.25">
      <c r="A20" s="37">
        <v>19</v>
      </c>
      <c r="B20" s="37">
        <v>1</v>
      </c>
      <c r="C20" s="37">
        <v>5.07</v>
      </c>
    </row>
    <row r="21" spans="1:3" x14ac:dyDescent="0.25">
      <c r="A21" s="37">
        <v>20</v>
      </c>
      <c r="B21" s="37">
        <v>1</v>
      </c>
      <c r="C21" s="37">
        <v>5.0599999999999996</v>
      </c>
    </row>
    <row r="22" spans="1:3" x14ac:dyDescent="0.25">
      <c r="A22" s="37">
        <v>21</v>
      </c>
      <c r="B22" s="37">
        <v>1</v>
      </c>
      <c r="C22" s="37">
        <v>5.0599999999999996</v>
      </c>
    </row>
    <row r="23" spans="1:3" x14ac:dyDescent="0.25">
      <c r="A23" s="37">
        <v>22</v>
      </c>
      <c r="B23" s="37">
        <v>1</v>
      </c>
      <c r="C23" s="37">
        <v>5.07</v>
      </c>
    </row>
    <row r="24" spans="1:3" x14ac:dyDescent="0.25">
      <c r="A24" s="37">
        <v>23</v>
      </c>
      <c r="B24" s="37">
        <v>1</v>
      </c>
      <c r="C24" s="37">
        <v>5.07</v>
      </c>
    </row>
    <row r="25" spans="1:3" x14ac:dyDescent="0.25">
      <c r="A25" s="37">
        <v>24</v>
      </c>
      <c r="B25" s="37">
        <v>1</v>
      </c>
      <c r="C25" s="37">
        <v>5.08</v>
      </c>
    </row>
    <row r="26" spans="1:3" x14ac:dyDescent="0.25">
      <c r="A26" s="37">
        <v>25</v>
      </c>
      <c r="B26" s="37">
        <v>1</v>
      </c>
      <c r="C26" s="37">
        <v>5.08</v>
      </c>
    </row>
    <row r="27" spans="1:3" x14ac:dyDescent="0.25">
      <c r="A27" s="37">
        <v>26</v>
      </c>
      <c r="B27" s="37">
        <v>1</v>
      </c>
      <c r="C27" s="37">
        <v>5.09</v>
      </c>
    </row>
    <row r="28" spans="1:3" x14ac:dyDescent="0.25">
      <c r="A28" s="37">
        <v>27</v>
      </c>
      <c r="B28" s="37">
        <v>1</v>
      </c>
      <c r="C28" s="37">
        <v>5.0999999999999996</v>
      </c>
    </row>
    <row r="29" spans="1:3" x14ac:dyDescent="0.25">
      <c r="A29" s="37">
        <v>28</v>
      </c>
      <c r="B29" s="37">
        <v>1</v>
      </c>
      <c r="C29" s="37">
        <v>5.1100000000000003</v>
      </c>
    </row>
    <row r="30" spans="1:3" x14ac:dyDescent="0.25">
      <c r="A30" s="37">
        <v>29</v>
      </c>
      <c r="B30" s="37">
        <v>1</v>
      </c>
      <c r="C30" s="37">
        <v>5.12</v>
      </c>
    </row>
    <row r="31" spans="1:3" x14ac:dyDescent="0.25">
      <c r="A31" s="37">
        <v>30</v>
      </c>
      <c r="B31" s="37">
        <v>1</v>
      </c>
      <c r="C31" s="37">
        <v>5.14</v>
      </c>
    </row>
    <row r="32" spans="1:3" x14ac:dyDescent="0.25">
      <c r="A32" s="37">
        <v>31</v>
      </c>
      <c r="B32" s="37">
        <v>1</v>
      </c>
      <c r="C32" s="37">
        <v>5.16</v>
      </c>
    </row>
    <row r="33" spans="1:3" x14ac:dyDescent="0.25">
      <c r="A33" s="37">
        <v>1</v>
      </c>
      <c r="B33" s="37">
        <v>2</v>
      </c>
      <c r="C33" s="37">
        <v>5.17</v>
      </c>
    </row>
    <row r="34" spans="1:3" x14ac:dyDescent="0.25">
      <c r="A34" s="37">
        <v>2</v>
      </c>
      <c r="B34" s="37">
        <v>2</v>
      </c>
      <c r="C34" s="37">
        <v>5.2</v>
      </c>
    </row>
    <row r="35" spans="1:3" x14ac:dyDescent="0.25">
      <c r="A35" s="114">
        <v>3</v>
      </c>
      <c r="B35" s="114">
        <v>2</v>
      </c>
      <c r="C35" s="114">
        <v>5.23</v>
      </c>
    </row>
    <row r="36" spans="1:3" x14ac:dyDescent="0.25">
      <c r="A36" s="37">
        <v>4</v>
      </c>
      <c r="B36" s="37">
        <v>2</v>
      </c>
      <c r="C36" s="37">
        <v>5.25</v>
      </c>
    </row>
    <row r="37" spans="1:3" x14ac:dyDescent="0.25">
      <c r="A37" s="37">
        <v>5</v>
      </c>
      <c r="B37" s="37">
        <v>2</v>
      </c>
      <c r="C37" s="37">
        <v>5.28</v>
      </c>
    </row>
    <row r="38" spans="1:3" x14ac:dyDescent="0.25">
      <c r="A38" s="37">
        <v>6</v>
      </c>
      <c r="B38" s="37">
        <v>2</v>
      </c>
      <c r="C38" s="37">
        <v>5.31</v>
      </c>
    </row>
    <row r="39" spans="1:3" x14ac:dyDescent="0.25">
      <c r="A39" s="37">
        <v>7</v>
      </c>
      <c r="B39" s="37">
        <v>2</v>
      </c>
      <c r="C39" s="37">
        <v>5.34</v>
      </c>
    </row>
    <row r="40" spans="1:3" x14ac:dyDescent="0.25">
      <c r="A40" s="37">
        <v>8</v>
      </c>
      <c r="B40" s="37">
        <v>2</v>
      </c>
      <c r="C40" s="37">
        <v>5.38</v>
      </c>
    </row>
    <row r="41" spans="1:3" x14ac:dyDescent="0.25">
      <c r="A41" s="37">
        <v>9</v>
      </c>
      <c r="B41" s="37">
        <v>2</v>
      </c>
      <c r="C41" s="37">
        <v>5.42</v>
      </c>
    </row>
    <row r="42" spans="1:3" x14ac:dyDescent="0.25">
      <c r="A42" s="37">
        <v>10</v>
      </c>
      <c r="B42" s="37">
        <v>2</v>
      </c>
      <c r="C42" s="37">
        <v>5.46</v>
      </c>
    </row>
    <row r="43" spans="1:3" x14ac:dyDescent="0.25">
      <c r="A43" s="37">
        <v>11</v>
      </c>
      <c r="B43" s="37">
        <v>2</v>
      </c>
      <c r="C43" s="37">
        <v>5.51</v>
      </c>
    </row>
    <row r="44" spans="1:3" x14ac:dyDescent="0.25">
      <c r="A44" s="37">
        <v>12</v>
      </c>
      <c r="B44" s="37">
        <v>2</v>
      </c>
      <c r="C44" s="37">
        <v>5.56</v>
      </c>
    </row>
    <row r="45" spans="1:3" x14ac:dyDescent="0.25">
      <c r="A45" s="37">
        <v>13</v>
      </c>
      <c r="B45" s="37">
        <v>2</v>
      </c>
      <c r="C45" s="37">
        <v>5.6</v>
      </c>
    </row>
    <row r="46" spans="1:3" x14ac:dyDescent="0.25">
      <c r="A46" s="37">
        <v>14</v>
      </c>
      <c r="B46" s="37">
        <v>2</v>
      </c>
      <c r="C46" s="37">
        <v>5.67</v>
      </c>
    </row>
    <row r="47" spans="1:3" x14ac:dyDescent="0.25">
      <c r="A47" s="37">
        <v>15</v>
      </c>
      <c r="B47" s="37">
        <v>2</v>
      </c>
      <c r="C47" s="37">
        <v>5.72</v>
      </c>
    </row>
    <row r="48" spans="1:3" x14ac:dyDescent="0.25">
      <c r="A48" s="37">
        <v>16</v>
      </c>
      <c r="B48" s="37">
        <v>2</v>
      </c>
      <c r="C48" s="37">
        <v>5.77</v>
      </c>
    </row>
    <row r="49" spans="1:3" x14ac:dyDescent="0.25">
      <c r="A49" s="37">
        <v>17</v>
      </c>
      <c r="B49" s="37">
        <v>2</v>
      </c>
      <c r="C49" s="37">
        <v>5.85</v>
      </c>
    </row>
    <row r="50" spans="1:3" x14ac:dyDescent="0.25">
      <c r="A50" s="37">
        <v>18</v>
      </c>
      <c r="B50" s="37">
        <v>2</v>
      </c>
      <c r="C50" s="37">
        <v>5.91</v>
      </c>
    </row>
    <row r="51" spans="1:3" x14ac:dyDescent="0.25">
      <c r="A51" s="37">
        <v>19</v>
      </c>
      <c r="B51" s="37">
        <v>2</v>
      </c>
      <c r="C51" s="37">
        <v>5.97</v>
      </c>
    </row>
    <row r="52" spans="1:3" x14ac:dyDescent="0.25">
      <c r="A52" s="37">
        <v>20</v>
      </c>
      <c r="B52" s="37">
        <v>2</v>
      </c>
      <c r="C52" s="37">
        <v>6.05</v>
      </c>
    </row>
    <row r="53" spans="1:3" x14ac:dyDescent="0.25">
      <c r="A53" s="37">
        <v>21</v>
      </c>
      <c r="B53" s="37">
        <v>2</v>
      </c>
      <c r="C53" s="37">
        <v>6.12</v>
      </c>
    </row>
    <row r="54" spans="1:3" x14ac:dyDescent="0.25">
      <c r="A54" s="37">
        <v>22</v>
      </c>
      <c r="B54" s="37">
        <v>2</v>
      </c>
      <c r="C54" s="37">
        <v>6.2</v>
      </c>
    </row>
    <row r="55" spans="1:3" x14ac:dyDescent="0.25">
      <c r="A55" s="37">
        <v>23</v>
      </c>
      <c r="B55" s="37">
        <v>2</v>
      </c>
      <c r="C55" s="37">
        <v>6.28</v>
      </c>
    </row>
    <row r="56" spans="1:3" x14ac:dyDescent="0.25">
      <c r="A56" s="37">
        <v>24</v>
      </c>
      <c r="B56" s="37">
        <v>2</v>
      </c>
      <c r="C56" s="37">
        <v>6.36</v>
      </c>
    </row>
    <row r="57" spans="1:3" x14ac:dyDescent="0.25">
      <c r="A57" s="37">
        <v>25</v>
      </c>
      <c r="B57" s="37">
        <v>2</v>
      </c>
      <c r="C57" s="37">
        <v>6.45</v>
      </c>
    </row>
    <row r="58" spans="1:3" x14ac:dyDescent="0.25">
      <c r="A58" s="37">
        <v>26</v>
      </c>
      <c r="B58" s="37">
        <v>2</v>
      </c>
      <c r="C58" s="37">
        <v>6.53</v>
      </c>
    </row>
    <row r="59" spans="1:3" x14ac:dyDescent="0.25">
      <c r="A59" s="37">
        <v>27</v>
      </c>
      <c r="B59" s="37">
        <v>2</v>
      </c>
      <c r="C59" s="37">
        <v>6.62</v>
      </c>
    </row>
    <row r="60" spans="1:3" x14ac:dyDescent="0.25">
      <c r="A60" s="37">
        <v>28</v>
      </c>
      <c r="B60" s="37">
        <v>2</v>
      </c>
      <c r="C60" s="37">
        <v>6.71</v>
      </c>
    </row>
    <row r="61" spans="1:3" x14ac:dyDescent="0.25">
      <c r="A61" s="37">
        <v>1</v>
      </c>
      <c r="B61" s="37">
        <v>3</v>
      </c>
      <c r="C61" s="37">
        <v>6.81</v>
      </c>
    </row>
    <row r="62" spans="1:3" x14ac:dyDescent="0.25">
      <c r="A62" s="37">
        <v>2</v>
      </c>
      <c r="B62" s="37">
        <v>3</v>
      </c>
      <c r="C62" s="37">
        <v>6.9</v>
      </c>
    </row>
    <row r="63" spans="1:3" x14ac:dyDescent="0.25">
      <c r="A63" s="37">
        <v>3</v>
      </c>
      <c r="B63" s="37">
        <v>3</v>
      </c>
      <c r="C63" s="37">
        <v>7</v>
      </c>
    </row>
    <row r="64" spans="1:3" x14ac:dyDescent="0.25">
      <c r="A64" s="37">
        <v>4</v>
      </c>
      <c r="B64" s="37">
        <v>3</v>
      </c>
      <c r="C64" s="37">
        <v>7.11</v>
      </c>
    </row>
    <row r="65" spans="1:3" x14ac:dyDescent="0.25">
      <c r="A65" s="37">
        <v>5</v>
      </c>
      <c r="B65" s="37">
        <v>3</v>
      </c>
      <c r="C65" s="37">
        <v>7.21</v>
      </c>
    </row>
    <row r="66" spans="1:3" x14ac:dyDescent="0.25">
      <c r="A66" s="37">
        <v>6</v>
      </c>
      <c r="B66" s="37">
        <v>3</v>
      </c>
      <c r="C66" s="37">
        <v>7.32</v>
      </c>
    </row>
    <row r="67" spans="1:3" x14ac:dyDescent="0.25">
      <c r="A67" s="37">
        <v>7</v>
      </c>
      <c r="B67" s="37">
        <v>3</v>
      </c>
      <c r="C67" s="37">
        <v>7.42</v>
      </c>
    </row>
    <row r="68" spans="1:3" x14ac:dyDescent="0.25">
      <c r="A68" s="37">
        <v>8</v>
      </c>
      <c r="B68" s="37">
        <v>3</v>
      </c>
      <c r="C68" s="37">
        <v>7.53</v>
      </c>
    </row>
    <row r="69" spans="1:3" x14ac:dyDescent="0.25">
      <c r="A69" s="37">
        <v>9</v>
      </c>
      <c r="B69" s="37">
        <v>3</v>
      </c>
      <c r="C69" s="37">
        <v>7.65</v>
      </c>
    </row>
    <row r="70" spans="1:3" x14ac:dyDescent="0.25">
      <c r="A70" s="37">
        <v>10</v>
      </c>
      <c r="B70" s="37">
        <v>3</v>
      </c>
      <c r="C70" s="37">
        <v>7.76</v>
      </c>
    </row>
    <row r="71" spans="1:3" x14ac:dyDescent="0.25">
      <c r="A71" s="37">
        <v>11</v>
      </c>
      <c r="B71" s="37">
        <v>3</v>
      </c>
      <c r="C71" s="37">
        <v>7.88</v>
      </c>
    </row>
    <row r="72" spans="1:3" x14ac:dyDescent="0.25">
      <c r="A72" s="37">
        <v>12</v>
      </c>
      <c r="B72" s="37">
        <v>3</v>
      </c>
      <c r="C72" s="37">
        <v>7.99</v>
      </c>
    </row>
    <row r="73" spans="1:3" x14ac:dyDescent="0.25">
      <c r="A73" s="37">
        <v>13</v>
      </c>
      <c r="B73" s="37">
        <v>3</v>
      </c>
      <c r="C73" s="37">
        <v>8.1199999999999992</v>
      </c>
    </row>
    <row r="74" spans="1:3" x14ac:dyDescent="0.25">
      <c r="A74" s="37">
        <v>14</v>
      </c>
      <c r="B74" s="37">
        <v>3</v>
      </c>
      <c r="C74" s="37">
        <v>8.23</v>
      </c>
    </row>
    <row r="75" spans="1:3" x14ac:dyDescent="0.25">
      <c r="A75" s="37">
        <v>15</v>
      </c>
      <c r="B75" s="37">
        <v>3</v>
      </c>
      <c r="C75" s="37">
        <v>8.36</v>
      </c>
    </row>
    <row r="76" spans="1:3" x14ac:dyDescent="0.25">
      <c r="A76" s="37">
        <v>16</v>
      </c>
      <c r="B76" s="37">
        <v>3</v>
      </c>
      <c r="C76" s="37">
        <v>8.48</v>
      </c>
    </row>
    <row r="77" spans="1:3" x14ac:dyDescent="0.25">
      <c r="A77" s="37">
        <v>17</v>
      </c>
      <c r="B77" s="37">
        <v>3</v>
      </c>
      <c r="C77" s="37">
        <v>8.59</v>
      </c>
    </row>
    <row r="78" spans="1:3" x14ac:dyDescent="0.25">
      <c r="A78" s="37">
        <v>18</v>
      </c>
      <c r="B78" s="37">
        <v>3</v>
      </c>
      <c r="C78" s="37">
        <v>8.7200000000000006</v>
      </c>
    </row>
    <row r="79" spans="1:3" x14ac:dyDescent="0.25">
      <c r="A79" s="37">
        <v>19</v>
      </c>
      <c r="B79" s="37">
        <v>3</v>
      </c>
      <c r="C79" s="37">
        <v>8.84</v>
      </c>
    </row>
    <row r="80" spans="1:3" x14ac:dyDescent="0.25">
      <c r="A80" s="37">
        <v>20</v>
      </c>
      <c r="B80" s="37">
        <v>3</v>
      </c>
      <c r="C80" s="37">
        <v>8.9700000000000006</v>
      </c>
    </row>
    <row r="81" spans="1:3" x14ac:dyDescent="0.25">
      <c r="A81" s="37">
        <v>21</v>
      </c>
      <c r="B81" s="37">
        <v>3</v>
      </c>
      <c r="C81" s="37">
        <v>9.1</v>
      </c>
    </row>
    <row r="82" spans="1:3" x14ac:dyDescent="0.25">
      <c r="A82" s="37">
        <v>22</v>
      </c>
      <c r="B82" s="37">
        <v>3</v>
      </c>
      <c r="C82" s="37">
        <v>9.2200000000000006</v>
      </c>
    </row>
    <row r="83" spans="1:3" x14ac:dyDescent="0.25">
      <c r="A83" s="37">
        <v>23</v>
      </c>
      <c r="B83" s="37">
        <v>3</v>
      </c>
      <c r="C83" s="37">
        <v>9.35</v>
      </c>
    </row>
    <row r="84" spans="1:3" x14ac:dyDescent="0.25">
      <c r="A84" s="37">
        <v>24</v>
      </c>
      <c r="B84" s="37">
        <v>3</v>
      </c>
      <c r="C84" s="37">
        <v>9.48</v>
      </c>
    </row>
    <row r="85" spans="1:3" x14ac:dyDescent="0.25">
      <c r="A85" s="37">
        <v>25</v>
      </c>
      <c r="B85" s="37">
        <v>3</v>
      </c>
      <c r="C85" s="37">
        <v>9.61</v>
      </c>
    </row>
    <row r="86" spans="1:3" x14ac:dyDescent="0.25">
      <c r="A86" s="37">
        <v>26</v>
      </c>
      <c r="B86" s="37">
        <v>3</v>
      </c>
      <c r="C86" s="37">
        <v>9.73</v>
      </c>
    </row>
    <row r="87" spans="1:3" x14ac:dyDescent="0.25">
      <c r="A87" s="37">
        <v>27</v>
      </c>
      <c r="B87" s="37">
        <v>3</v>
      </c>
      <c r="C87" s="37">
        <v>9.86</v>
      </c>
    </row>
    <row r="88" spans="1:3" x14ac:dyDescent="0.25">
      <c r="A88" s="37">
        <v>28</v>
      </c>
      <c r="B88" s="37">
        <v>3</v>
      </c>
      <c r="C88" s="37">
        <v>9.98</v>
      </c>
    </row>
    <row r="89" spans="1:3" x14ac:dyDescent="0.25">
      <c r="A89" s="37">
        <v>29</v>
      </c>
      <c r="B89" s="37">
        <v>3</v>
      </c>
      <c r="C89" s="37">
        <v>10.11</v>
      </c>
    </row>
    <row r="90" spans="1:3" x14ac:dyDescent="0.25">
      <c r="A90" s="37">
        <v>30</v>
      </c>
      <c r="B90" s="37">
        <v>3</v>
      </c>
      <c r="C90" s="37">
        <v>10.23</v>
      </c>
    </row>
    <row r="91" spans="1:3" x14ac:dyDescent="0.25">
      <c r="A91" s="37">
        <v>31</v>
      </c>
      <c r="B91" s="37">
        <v>3</v>
      </c>
      <c r="C91" s="37">
        <v>10.36</v>
      </c>
    </row>
    <row r="92" spans="1:3" x14ac:dyDescent="0.25">
      <c r="A92" s="37">
        <v>1</v>
      </c>
      <c r="B92" s="37">
        <v>4</v>
      </c>
      <c r="C92" s="37">
        <v>10.49</v>
      </c>
    </row>
    <row r="93" spans="1:3" x14ac:dyDescent="0.25">
      <c r="A93" s="37">
        <v>2</v>
      </c>
      <c r="B93" s="37">
        <v>4</v>
      </c>
      <c r="C93" s="37">
        <v>10.61</v>
      </c>
    </row>
    <row r="94" spans="1:3" x14ac:dyDescent="0.25">
      <c r="A94" s="37">
        <v>3</v>
      </c>
      <c r="B94" s="37">
        <v>4</v>
      </c>
      <c r="C94" s="37">
        <v>10.74</v>
      </c>
    </row>
    <row r="95" spans="1:3" x14ac:dyDescent="0.25">
      <c r="A95" s="37">
        <v>4</v>
      </c>
      <c r="B95" s="37">
        <v>4</v>
      </c>
      <c r="C95" s="37">
        <v>10.86</v>
      </c>
    </row>
    <row r="96" spans="1:3" x14ac:dyDescent="0.25">
      <c r="A96" s="37">
        <v>5</v>
      </c>
      <c r="B96" s="37">
        <v>4</v>
      </c>
      <c r="C96" s="37">
        <v>10.98</v>
      </c>
    </row>
    <row r="97" spans="1:3" x14ac:dyDescent="0.25">
      <c r="A97" s="37">
        <v>6</v>
      </c>
      <c r="B97" s="37">
        <v>4</v>
      </c>
      <c r="C97" s="37">
        <v>11.1</v>
      </c>
    </row>
    <row r="98" spans="1:3" x14ac:dyDescent="0.25">
      <c r="A98" s="37">
        <v>7</v>
      </c>
      <c r="B98" s="37">
        <v>4</v>
      </c>
      <c r="C98" s="37">
        <v>11.22</v>
      </c>
    </row>
    <row r="99" spans="1:3" x14ac:dyDescent="0.25">
      <c r="A99" s="37">
        <v>8</v>
      </c>
      <c r="B99" s="37">
        <v>4</v>
      </c>
      <c r="C99" s="37">
        <v>11.35</v>
      </c>
    </row>
    <row r="100" spans="1:3" x14ac:dyDescent="0.25">
      <c r="A100" s="37">
        <v>9</v>
      </c>
      <c r="B100" s="37">
        <v>4</v>
      </c>
      <c r="C100" s="37">
        <v>11.46</v>
      </c>
    </row>
    <row r="101" spans="1:3" x14ac:dyDescent="0.25">
      <c r="A101" s="37">
        <v>10</v>
      </c>
      <c r="B101" s="37">
        <v>4</v>
      </c>
      <c r="C101" s="37">
        <v>11.58</v>
      </c>
    </row>
    <row r="102" spans="1:3" x14ac:dyDescent="0.25">
      <c r="A102" s="37">
        <v>11</v>
      </c>
      <c r="B102" s="37">
        <v>4</v>
      </c>
      <c r="C102" s="37">
        <v>11.7</v>
      </c>
    </row>
    <row r="103" spans="1:3" x14ac:dyDescent="0.25">
      <c r="A103" s="37">
        <v>12</v>
      </c>
      <c r="B103" s="37">
        <v>4</v>
      </c>
      <c r="C103" s="37">
        <v>11.81</v>
      </c>
    </row>
    <row r="104" spans="1:3" x14ac:dyDescent="0.25">
      <c r="A104" s="37">
        <v>13</v>
      </c>
      <c r="B104" s="37">
        <v>4</v>
      </c>
      <c r="C104" s="37">
        <v>11.92</v>
      </c>
    </row>
    <row r="105" spans="1:3" x14ac:dyDescent="0.25">
      <c r="A105" s="37">
        <v>14</v>
      </c>
      <c r="B105" s="37">
        <v>4</v>
      </c>
      <c r="C105" s="37">
        <v>12.05</v>
      </c>
    </row>
    <row r="106" spans="1:3" x14ac:dyDescent="0.25">
      <c r="A106" s="37">
        <v>15</v>
      </c>
      <c r="B106" s="37">
        <v>4</v>
      </c>
      <c r="C106" s="37">
        <v>12.16</v>
      </c>
    </row>
    <row r="107" spans="1:3" x14ac:dyDescent="0.25">
      <c r="A107" s="37">
        <v>16</v>
      </c>
      <c r="B107" s="37">
        <v>4</v>
      </c>
      <c r="C107" s="37">
        <v>12.27</v>
      </c>
    </row>
    <row r="108" spans="1:3" x14ac:dyDescent="0.25">
      <c r="A108" s="37">
        <v>17</v>
      </c>
      <c r="B108" s="37">
        <v>4</v>
      </c>
      <c r="C108" s="37">
        <v>12.37</v>
      </c>
    </row>
    <row r="109" spans="1:3" x14ac:dyDescent="0.25">
      <c r="A109" s="37">
        <v>18</v>
      </c>
      <c r="B109" s="37">
        <v>4</v>
      </c>
      <c r="C109" s="37">
        <v>12.49</v>
      </c>
    </row>
    <row r="110" spans="1:3" x14ac:dyDescent="0.25">
      <c r="A110" s="37">
        <v>19</v>
      </c>
      <c r="B110" s="37">
        <v>4</v>
      </c>
      <c r="C110" s="37">
        <v>12.6</v>
      </c>
    </row>
    <row r="111" spans="1:3" x14ac:dyDescent="0.25">
      <c r="A111" s="37">
        <v>20</v>
      </c>
      <c r="B111" s="37">
        <v>4</v>
      </c>
      <c r="C111" s="37">
        <v>12.71</v>
      </c>
    </row>
    <row r="112" spans="1:3" x14ac:dyDescent="0.25">
      <c r="A112" s="37">
        <v>21</v>
      </c>
      <c r="B112" s="37">
        <v>4</v>
      </c>
      <c r="C112" s="37">
        <v>12.82</v>
      </c>
    </row>
    <row r="113" spans="1:3" x14ac:dyDescent="0.25">
      <c r="A113" s="37">
        <v>22</v>
      </c>
      <c r="B113" s="37">
        <v>4</v>
      </c>
      <c r="C113" s="37">
        <v>12.92</v>
      </c>
    </row>
    <row r="114" spans="1:3" x14ac:dyDescent="0.25">
      <c r="A114" s="37">
        <v>23</v>
      </c>
      <c r="B114" s="37">
        <v>4</v>
      </c>
      <c r="C114" s="37">
        <v>13.03</v>
      </c>
    </row>
    <row r="115" spans="1:3" x14ac:dyDescent="0.25">
      <c r="A115" s="37">
        <v>24</v>
      </c>
      <c r="B115" s="37">
        <v>4</v>
      </c>
      <c r="C115" s="37">
        <v>13.14</v>
      </c>
    </row>
    <row r="116" spans="1:3" x14ac:dyDescent="0.25">
      <c r="A116" s="37">
        <v>25</v>
      </c>
      <c r="B116" s="37">
        <v>4</v>
      </c>
      <c r="C116" s="37">
        <v>13.25</v>
      </c>
    </row>
    <row r="117" spans="1:3" x14ac:dyDescent="0.25">
      <c r="A117" s="37">
        <v>26</v>
      </c>
      <c r="B117" s="37">
        <v>4</v>
      </c>
      <c r="C117" s="37">
        <v>13.35</v>
      </c>
    </row>
    <row r="118" spans="1:3" x14ac:dyDescent="0.25">
      <c r="A118" s="37">
        <v>27</v>
      </c>
      <c r="B118" s="37">
        <v>4</v>
      </c>
      <c r="C118" s="37">
        <v>13.46</v>
      </c>
    </row>
    <row r="119" spans="1:3" x14ac:dyDescent="0.25">
      <c r="A119" s="37">
        <v>28</v>
      </c>
      <c r="B119" s="37">
        <v>4</v>
      </c>
      <c r="C119" s="37">
        <v>13.56</v>
      </c>
    </row>
    <row r="120" spans="1:3" x14ac:dyDescent="0.25">
      <c r="A120" s="37">
        <v>29</v>
      </c>
      <c r="B120" s="37">
        <v>4</v>
      </c>
      <c r="C120" s="37">
        <v>13.66</v>
      </c>
    </row>
    <row r="121" spans="1:3" x14ac:dyDescent="0.25">
      <c r="A121" s="37">
        <v>30</v>
      </c>
      <c r="B121" s="37">
        <v>4</v>
      </c>
      <c r="C121" s="37">
        <v>13.77</v>
      </c>
    </row>
    <row r="122" spans="1:3" x14ac:dyDescent="0.25">
      <c r="A122" s="37">
        <v>1</v>
      </c>
      <c r="B122" s="37">
        <v>5</v>
      </c>
      <c r="C122" s="37">
        <v>13.87</v>
      </c>
    </row>
    <row r="123" spans="1:3" x14ac:dyDescent="0.25">
      <c r="A123" s="37">
        <v>2</v>
      </c>
      <c r="B123" s="37">
        <v>5</v>
      </c>
      <c r="C123" s="37">
        <v>13.98</v>
      </c>
    </row>
    <row r="124" spans="1:3" x14ac:dyDescent="0.25">
      <c r="A124" s="37">
        <v>3</v>
      </c>
      <c r="B124" s="37">
        <v>5</v>
      </c>
      <c r="C124" s="37">
        <v>14.09</v>
      </c>
    </row>
    <row r="125" spans="1:3" x14ac:dyDescent="0.25">
      <c r="A125" s="37">
        <v>4</v>
      </c>
      <c r="B125" s="37">
        <v>5</v>
      </c>
      <c r="C125" s="37">
        <v>14.19</v>
      </c>
    </row>
    <row r="126" spans="1:3" x14ac:dyDescent="0.25">
      <c r="A126" s="37">
        <v>5</v>
      </c>
      <c r="B126" s="37">
        <v>5</v>
      </c>
      <c r="C126" s="37">
        <v>14.3</v>
      </c>
    </row>
    <row r="127" spans="1:3" x14ac:dyDescent="0.25">
      <c r="A127" s="37">
        <v>6</v>
      </c>
      <c r="B127" s="37">
        <v>5</v>
      </c>
      <c r="C127" s="37">
        <v>14.4</v>
      </c>
    </row>
    <row r="128" spans="1:3" x14ac:dyDescent="0.25">
      <c r="A128" s="37">
        <v>7</v>
      </c>
      <c r="B128" s="37">
        <v>5</v>
      </c>
      <c r="C128" s="37">
        <v>14.5</v>
      </c>
    </row>
    <row r="129" spans="1:3" x14ac:dyDescent="0.25">
      <c r="A129" s="37">
        <v>8</v>
      </c>
      <c r="B129" s="37">
        <v>5</v>
      </c>
      <c r="C129" s="37">
        <v>14.61</v>
      </c>
    </row>
    <row r="130" spans="1:3" x14ac:dyDescent="0.25">
      <c r="A130" s="37">
        <v>9</v>
      </c>
      <c r="B130" s="37">
        <v>5</v>
      </c>
      <c r="C130" s="37">
        <v>14.71</v>
      </c>
    </row>
    <row r="131" spans="1:3" x14ac:dyDescent="0.25">
      <c r="A131" s="37">
        <v>10</v>
      </c>
      <c r="B131" s="37">
        <v>5</v>
      </c>
      <c r="C131" s="37">
        <v>14.82</v>
      </c>
    </row>
    <row r="132" spans="1:3" x14ac:dyDescent="0.25">
      <c r="A132" s="37">
        <v>11</v>
      </c>
      <c r="B132" s="37">
        <v>5</v>
      </c>
      <c r="C132" s="37">
        <v>14.93</v>
      </c>
    </row>
    <row r="133" spans="1:3" x14ac:dyDescent="0.25">
      <c r="A133" s="37">
        <v>12</v>
      </c>
      <c r="B133" s="37">
        <v>5</v>
      </c>
      <c r="C133" s="37">
        <v>15.04</v>
      </c>
    </row>
    <row r="134" spans="1:3" x14ac:dyDescent="0.25">
      <c r="A134" s="37">
        <v>13</v>
      </c>
      <c r="B134" s="37">
        <v>5</v>
      </c>
      <c r="C134" s="37">
        <v>15.14</v>
      </c>
    </row>
    <row r="135" spans="1:3" x14ac:dyDescent="0.25">
      <c r="A135" s="37">
        <v>14</v>
      </c>
      <c r="B135" s="37">
        <v>5</v>
      </c>
      <c r="C135" s="37">
        <v>15.25</v>
      </c>
    </row>
    <row r="136" spans="1:3" x14ac:dyDescent="0.25">
      <c r="A136" s="37">
        <v>15</v>
      </c>
      <c r="B136" s="37">
        <v>5</v>
      </c>
      <c r="C136" s="37">
        <v>15.36</v>
      </c>
    </row>
    <row r="137" spans="1:3" x14ac:dyDescent="0.25">
      <c r="A137" s="37">
        <v>16</v>
      </c>
      <c r="B137" s="37">
        <v>5</v>
      </c>
      <c r="C137" s="37">
        <v>15.47</v>
      </c>
    </row>
    <row r="138" spans="1:3" x14ac:dyDescent="0.25">
      <c r="A138" s="37">
        <v>17</v>
      </c>
      <c r="B138" s="37">
        <v>5</v>
      </c>
      <c r="C138" s="37">
        <v>15.58</v>
      </c>
    </row>
    <row r="139" spans="1:3" x14ac:dyDescent="0.25">
      <c r="A139" s="37">
        <v>18</v>
      </c>
      <c r="B139" s="37">
        <v>5</v>
      </c>
      <c r="C139" s="37">
        <v>15.7</v>
      </c>
    </row>
    <row r="140" spans="1:3" x14ac:dyDescent="0.25">
      <c r="A140" s="37">
        <v>19</v>
      </c>
      <c r="B140" s="37">
        <v>5</v>
      </c>
      <c r="C140" s="37">
        <v>15.81</v>
      </c>
    </row>
    <row r="141" spans="1:3" x14ac:dyDescent="0.25">
      <c r="A141" s="37">
        <v>20</v>
      </c>
      <c r="B141" s="37">
        <v>5</v>
      </c>
      <c r="C141" s="37">
        <v>15.93</v>
      </c>
    </row>
    <row r="142" spans="1:3" x14ac:dyDescent="0.25">
      <c r="A142" s="37">
        <v>21</v>
      </c>
      <c r="B142" s="37">
        <v>5</v>
      </c>
      <c r="C142" s="37">
        <v>16.04</v>
      </c>
    </row>
    <row r="143" spans="1:3" x14ac:dyDescent="0.25">
      <c r="A143" s="37">
        <v>22</v>
      </c>
      <c r="B143" s="37">
        <v>5</v>
      </c>
      <c r="C143" s="37">
        <v>16.149999999999999</v>
      </c>
    </row>
    <row r="144" spans="1:3" x14ac:dyDescent="0.25">
      <c r="A144" s="37">
        <v>23</v>
      </c>
      <c r="B144" s="37">
        <v>5</v>
      </c>
      <c r="C144" s="37">
        <v>16.27</v>
      </c>
    </row>
    <row r="145" spans="1:3" x14ac:dyDescent="0.25">
      <c r="A145" s="37">
        <v>24</v>
      </c>
      <c r="B145" s="37">
        <v>5</v>
      </c>
      <c r="C145" s="37">
        <v>16.399999999999999</v>
      </c>
    </row>
    <row r="146" spans="1:3" x14ac:dyDescent="0.25">
      <c r="A146" s="37">
        <v>25</v>
      </c>
      <c r="B146" s="37">
        <v>5</v>
      </c>
      <c r="C146" s="37">
        <v>16.510000000000002</v>
      </c>
    </row>
    <row r="147" spans="1:3" x14ac:dyDescent="0.25">
      <c r="A147" s="37">
        <v>26</v>
      </c>
      <c r="B147" s="37">
        <v>5</v>
      </c>
      <c r="C147" s="37">
        <v>16.63</v>
      </c>
    </row>
    <row r="148" spans="1:3" x14ac:dyDescent="0.25">
      <c r="A148" s="37">
        <v>27</v>
      </c>
      <c r="B148" s="37">
        <v>5</v>
      </c>
      <c r="C148" s="37">
        <v>16.75</v>
      </c>
    </row>
    <row r="149" spans="1:3" x14ac:dyDescent="0.25">
      <c r="A149" s="37">
        <v>28</v>
      </c>
      <c r="B149" s="37">
        <v>5</v>
      </c>
      <c r="C149" s="37">
        <v>16.88</v>
      </c>
    </row>
    <row r="150" spans="1:3" x14ac:dyDescent="0.25">
      <c r="A150" s="37">
        <v>29</v>
      </c>
      <c r="B150" s="37">
        <v>5</v>
      </c>
      <c r="C150" s="37">
        <v>17</v>
      </c>
    </row>
    <row r="151" spans="1:3" x14ac:dyDescent="0.25">
      <c r="A151" s="37">
        <v>30</v>
      </c>
      <c r="B151" s="37">
        <v>5</v>
      </c>
      <c r="C151" s="37">
        <v>17.12</v>
      </c>
    </row>
    <row r="152" spans="1:3" x14ac:dyDescent="0.25">
      <c r="A152" s="37">
        <v>31</v>
      </c>
      <c r="B152" s="37">
        <v>5</v>
      </c>
      <c r="C152" s="37">
        <v>17.239999999999998</v>
      </c>
    </row>
    <row r="153" spans="1:3" x14ac:dyDescent="0.25">
      <c r="A153" s="37">
        <v>1</v>
      </c>
      <c r="B153" s="37">
        <v>6</v>
      </c>
      <c r="C153" s="37">
        <v>17.36</v>
      </c>
    </row>
    <row r="154" spans="1:3" x14ac:dyDescent="0.25">
      <c r="A154" s="37">
        <v>2</v>
      </c>
      <c r="B154" s="37">
        <v>6</v>
      </c>
      <c r="C154" s="37">
        <v>17.48</v>
      </c>
    </row>
    <row r="155" spans="1:3" x14ac:dyDescent="0.25">
      <c r="A155" s="37">
        <v>3</v>
      </c>
      <c r="B155" s="37">
        <v>6</v>
      </c>
      <c r="C155" s="37">
        <v>17.61</v>
      </c>
    </row>
    <row r="156" spans="1:3" x14ac:dyDescent="0.25">
      <c r="A156" s="37">
        <v>4</v>
      </c>
      <c r="B156" s="37">
        <v>6</v>
      </c>
      <c r="C156" s="37">
        <v>17.739999999999998</v>
      </c>
    </row>
    <row r="157" spans="1:3" x14ac:dyDescent="0.25">
      <c r="A157" s="37">
        <v>5</v>
      </c>
      <c r="B157" s="37">
        <v>6</v>
      </c>
      <c r="C157" s="37">
        <v>17.87</v>
      </c>
    </row>
    <row r="158" spans="1:3" x14ac:dyDescent="0.25">
      <c r="A158" s="37">
        <v>6</v>
      </c>
      <c r="B158" s="37">
        <v>6</v>
      </c>
      <c r="C158" s="37">
        <v>17.98</v>
      </c>
    </row>
    <row r="159" spans="1:3" x14ac:dyDescent="0.25">
      <c r="A159" s="37">
        <v>7</v>
      </c>
      <c r="B159" s="37">
        <v>6</v>
      </c>
      <c r="C159" s="37">
        <v>18.11</v>
      </c>
    </row>
    <row r="160" spans="1:3" x14ac:dyDescent="0.25">
      <c r="A160" s="37">
        <v>8</v>
      </c>
      <c r="B160" s="37">
        <v>6</v>
      </c>
      <c r="C160" s="37">
        <v>18.239999999999998</v>
      </c>
    </row>
    <row r="161" spans="1:3" x14ac:dyDescent="0.25">
      <c r="A161" s="37">
        <v>9</v>
      </c>
      <c r="B161" s="37">
        <v>6</v>
      </c>
      <c r="C161" s="37">
        <v>18.36</v>
      </c>
    </row>
    <row r="162" spans="1:3" x14ac:dyDescent="0.25">
      <c r="A162" s="37">
        <v>10</v>
      </c>
      <c r="B162" s="37">
        <v>6</v>
      </c>
      <c r="C162" s="37">
        <v>18.48</v>
      </c>
    </row>
    <row r="163" spans="1:3" x14ac:dyDescent="0.25">
      <c r="A163" s="37">
        <v>11</v>
      </c>
      <c r="B163" s="37">
        <v>6</v>
      </c>
      <c r="C163" s="37">
        <v>18.61</v>
      </c>
    </row>
    <row r="164" spans="1:3" x14ac:dyDescent="0.25">
      <c r="A164" s="37">
        <v>12</v>
      </c>
      <c r="B164" s="37">
        <v>6</v>
      </c>
      <c r="C164" s="37">
        <v>18.73</v>
      </c>
    </row>
    <row r="165" spans="1:3" x14ac:dyDescent="0.25">
      <c r="A165" s="37">
        <v>13</v>
      </c>
      <c r="B165" s="37">
        <v>6</v>
      </c>
      <c r="C165" s="37">
        <v>18.86</v>
      </c>
    </row>
    <row r="166" spans="1:3" x14ac:dyDescent="0.25">
      <c r="A166" s="37">
        <v>14</v>
      </c>
      <c r="B166" s="37">
        <v>6</v>
      </c>
      <c r="C166" s="37">
        <v>18.98</v>
      </c>
    </row>
    <row r="167" spans="1:3" x14ac:dyDescent="0.25">
      <c r="A167" s="37">
        <v>15</v>
      </c>
      <c r="B167" s="37">
        <v>6</v>
      </c>
      <c r="C167" s="37">
        <v>19.09</v>
      </c>
    </row>
    <row r="168" spans="1:3" x14ac:dyDescent="0.25">
      <c r="A168" s="37">
        <v>16</v>
      </c>
      <c r="B168" s="37">
        <v>6</v>
      </c>
      <c r="C168" s="37">
        <v>19.22</v>
      </c>
    </row>
    <row r="169" spans="1:3" x14ac:dyDescent="0.25">
      <c r="A169" s="37">
        <v>17</v>
      </c>
      <c r="B169" s="37">
        <v>6</v>
      </c>
      <c r="C169" s="37">
        <v>19.329999999999998</v>
      </c>
    </row>
    <row r="170" spans="1:3" x14ac:dyDescent="0.25">
      <c r="A170" s="37">
        <v>18</v>
      </c>
      <c r="B170" s="37">
        <v>6</v>
      </c>
      <c r="C170" s="37">
        <v>19.45</v>
      </c>
    </row>
    <row r="171" spans="1:3" x14ac:dyDescent="0.25">
      <c r="A171" s="37">
        <v>19</v>
      </c>
      <c r="B171" s="37">
        <v>6</v>
      </c>
      <c r="C171" s="37">
        <v>19.559999999999999</v>
      </c>
    </row>
    <row r="172" spans="1:3" x14ac:dyDescent="0.25">
      <c r="A172" s="37">
        <v>20</v>
      </c>
      <c r="B172" s="37">
        <v>6</v>
      </c>
      <c r="C172" s="37">
        <v>19.670000000000002</v>
      </c>
    </row>
    <row r="173" spans="1:3" x14ac:dyDescent="0.25">
      <c r="A173" s="37">
        <v>21</v>
      </c>
      <c r="B173" s="37">
        <v>6</v>
      </c>
      <c r="C173" s="37">
        <v>19.78</v>
      </c>
    </row>
    <row r="174" spans="1:3" x14ac:dyDescent="0.25">
      <c r="A174" s="37">
        <v>22</v>
      </c>
      <c r="B174" s="37">
        <v>6</v>
      </c>
      <c r="C174" s="37">
        <v>19.89</v>
      </c>
    </row>
    <row r="175" spans="1:3" x14ac:dyDescent="0.25">
      <c r="A175" s="37">
        <v>23</v>
      </c>
      <c r="B175" s="37">
        <v>6</v>
      </c>
      <c r="C175" s="37">
        <v>20</v>
      </c>
    </row>
    <row r="176" spans="1:3" x14ac:dyDescent="0.25">
      <c r="A176" s="37">
        <v>24</v>
      </c>
      <c r="B176" s="37">
        <v>6</v>
      </c>
      <c r="C176" s="37">
        <v>20.100000000000001</v>
      </c>
    </row>
    <row r="177" spans="1:3" x14ac:dyDescent="0.25">
      <c r="A177" s="37">
        <v>25</v>
      </c>
      <c r="B177" s="37">
        <v>6</v>
      </c>
      <c r="C177" s="37">
        <v>20.2</v>
      </c>
    </row>
    <row r="178" spans="1:3" x14ac:dyDescent="0.25">
      <c r="A178" s="37">
        <v>26</v>
      </c>
      <c r="B178" s="37">
        <v>6</v>
      </c>
      <c r="C178" s="37">
        <v>20.3</v>
      </c>
    </row>
    <row r="179" spans="1:3" x14ac:dyDescent="0.25">
      <c r="A179" s="37">
        <v>27</v>
      </c>
      <c r="B179" s="37">
        <v>6</v>
      </c>
      <c r="C179" s="37">
        <v>20.399999999999999</v>
      </c>
    </row>
    <row r="180" spans="1:3" x14ac:dyDescent="0.25">
      <c r="A180" s="37">
        <v>28</v>
      </c>
      <c r="B180" s="37">
        <v>6</v>
      </c>
      <c r="C180" s="37">
        <v>20.49</v>
      </c>
    </row>
    <row r="181" spans="1:3" x14ac:dyDescent="0.25">
      <c r="A181" s="37">
        <v>29</v>
      </c>
      <c r="B181" s="37">
        <v>6</v>
      </c>
      <c r="C181" s="37">
        <v>20.58</v>
      </c>
    </row>
    <row r="182" spans="1:3" x14ac:dyDescent="0.25">
      <c r="A182" s="37">
        <v>30</v>
      </c>
      <c r="B182" s="37">
        <v>6</v>
      </c>
      <c r="C182" s="37">
        <v>20.67</v>
      </c>
    </row>
    <row r="183" spans="1:3" x14ac:dyDescent="0.25">
      <c r="A183" s="37">
        <v>1</v>
      </c>
      <c r="B183" s="37">
        <v>7</v>
      </c>
      <c r="C183" s="37">
        <v>20.76</v>
      </c>
    </row>
    <row r="184" spans="1:3" x14ac:dyDescent="0.25">
      <c r="A184" s="37">
        <v>2</v>
      </c>
      <c r="B184" s="37">
        <v>7</v>
      </c>
      <c r="C184" s="37">
        <v>20.84</v>
      </c>
    </row>
    <row r="185" spans="1:3" x14ac:dyDescent="0.25">
      <c r="A185" s="37">
        <v>3</v>
      </c>
      <c r="B185" s="37">
        <v>7</v>
      </c>
      <c r="C185" s="37">
        <v>20.91</v>
      </c>
    </row>
    <row r="186" spans="1:3" x14ac:dyDescent="0.25">
      <c r="A186" s="37">
        <v>4</v>
      </c>
      <c r="B186" s="37">
        <v>7</v>
      </c>
      <c r="C186" s="37">
        <v>20.98</v>
      </c>
    </row>
    <row r="187" spans="1:3" x14ac:dyDescent="0.25">
      <c r="A187" s="37">
        <v>5</v>
      </c>
      <c r="B187" s="37">
        <v>7</v>
      </c>
      <c r="C187" s="37">
        <v>21.06</v>
      </c>
    </row>
    <row r="188" spans="1:3" x14ac:dyDescent="0.25">
      <c r="A188" s="37">
        <v>6</v>
      </c>
      <c r="B188" s="37">
        <v>7</v>
      </c>
      <c r="C188" s="37">
        <v>21.12</v>
      </c>
    </row>
    <row r="189" spans="1:3" x14ac:dyDescent="0.25">
      <c r="A189" s="37">
        <v>7</v>
      </c>
      <c r="B189" s="37">
        <v>7</v>
      </c>
      <c r="C189" s="37">
        <v>21.18</v>
      </c>
    </row>
    <row r="190" spans="1:3" x14ac:dyDescent="0.25">
      <c r="A190" s="37">
        <v>8</v>
      </c>
      <c r="B190" s="37">
        <v>7</v>
      </c>
      <c r="C190" s="37">
        <v>21.24</v>
      </c>
    </row>
    <row r="191" spans="1:3" x14ac:dyDescent="0.25">
      <c r="A191" s="37">
        <v>9</v>
      </c>
      <c r="B191" s="37">
        <v>7</v>
      </c>
      <c r="C191" s="37">
        <v>21.29</v>
      </c>
    </row>
    <row r="192" spans="1:3" x14ac:dyDescent="0.25">
      <c r="A192" s="37">
        <v>10</v>
      </c>
      <c r="B192" s="37">
        <v>7</v>
      </c>
      <c r="C192" s="37">
        <v>21.34</v>
      </c>
    </row>
    <row r="193" spans="1:3" x14ac:dyDescent="0.25">
      <c r="A193" s="37">
        <v>11</v>
      </c>
      <c r="B193" s="37">
        <v>7</v>
      </c>
      <c r="C193" s="37">
        <v>21.39</v>
      </c>
    </row>
    <row r="194" spans="1:3" x14ac:dyDescent="0.25">
      <c r="A194" s="37">
        <v>12</v>
      </c>
      <c r="B194" s="37">
        <v>7</v>
      </c>
      <c r="C194" s="37">
        <v>21.44</v>
      </c>
    </row>
    <row r="195" spans="1:3" x14ac:dyDescent="0.25">
      <c r="A195" s="37">
        <v>13</v>
      </c>
      <c r="B195" s="37">
        <v>7</v>
      </c>
      <c r="C195" s="37">
        <v>21.48</v>
      </c>
    </row>
    <row r="196" spans="1:3" x14ac:dyDescent="0.25">
      <c r="A196" s="37">
        <v>14</v>
      </c>
      <c r="B196" s="37">
        <v>7</v>
      </c>
      <c r="C196" s="37">
        <v>21.5</v>
      </c>
    </row>
    <row r="197" spans="1:3" x14ac:dyDescent="0.25">
      <c r="A197" s="37">
        <v>15</v>
      </c>
      <c r="B197" s="37">
        <v>7</v>
      </c>
      <c r="C197" s="37">
        <v>21.53</v>
      </c>
    </row>
    <row r="198" spans="1:3" x14ac:dyDescent="0.25">
      <c r="A198" s="37">
        <v>16</v>
      </c>
      <c r="B198" s="37">
        <v>7</v>
      </c>
      <c r="C198" s="37">
        <v>21.56</v>
      </c>
    </row>
    <row r="199" spans="1:3" x14ac:dyDescent="0.25">
      <c r="A199" s="37">
        <v>17</v>
      </c>
      <c r="B199" s="37">
        <v>7</v>
      </c>
      <c r="C199" s="37">
        <v>21.58</v>
      </c>
    </row>
    <row r="200" spans="1:3" x14ac:dyDescent="0.25">
      <c r="A200" s="37">
        <v>18</v>
      </c>
      <c r="B200" s="37">
        <v>7</v>
      </c>
      <c r="C200" s="37">
        <v>21.59</v>
      </c>
    </row>
    <row r="201" spans="1:3" x14ac:dyDescent="0.25">
      <c r="A201" s="37">
        <v>19</v>
      </c>
      <c r="B201" s="37">
        <v>7</v>
      </c>
      <c r="C201" s="37">
        <v>21.61</v>
      </c>
    </row>
    <row r="202" spans="1:3" x14ac:dyDescent="0.25">
      <c r="A202" s="37">
        <v>20</v>
      </c>
      <c r="B202" s="37">
        <v>7</v>
      </c>
      <c r="C202" s="37">
        <v>21.61</v>
      </c>
    </row>
    <row r="203" spans="1:3" x14ac:dyDescent="0.25">
      <c r="A203" s="37">
        <v>21</v>
      </c>
      <c r="B203" s="37">
        <v>7</v>
      </c>
      <c r="C203" s="37">
        <v>21.62</v>
      </c>
    </row>
    <row r="204" spans="1:3" x14ac:dyDescent="0.25">
      <c r="A204" s="37">
        <v>22</v>
      </c>
      <c r="B204" s="37">
        <v>7</v>
      </c>
      <c r="C204" s="37">
        <v>21.62</v>
      </c>
    </row>
    <row r="205" spans="1:3" x14ac:dyDescent="0.25">
      <c r="A205" s="37">
        <v>23</v>
      </c>
      <c r="B205" s="37">
        <v>7</v>
      </c>
      <c r="C205" s="37">
        <v>21.61</v>
      </c>
    </row>
    <row r="206" spans="1:3" x14ac:dyDescent="0.25">
      <c r="A206" s="37">
        <v>24</v>
      </c>
      <c r="B206" s="37">
        <v>7</v>
      </c>
      <c r="C206" s="37">
        <v>21.61</v>
      </c>
    </row>
    <row r="207" spans="1:3" x14ac:dyDescent="0.25">
      <c r="A207" s="37">
        <v>25</v>
      </c>
      <c r="B207" s="37">
        <v>7</v>
      </c>
      <c r="C207" s="37">
        <v>21.6</v>
      </c>
    </row>
    <row r="208" spans="1:3" x14ac:dyDescent="0.25">
      <c r="A208" s="37">
        <v>26</v>
      </c>
      <c r="B208" s="37">
        <v>7</v>
      </c>
      <c r="C208" s="37">
        <v>21.57</v>
      </c>
    </row>
    <row r="209" spans="1:3" x14ac:dyDescent="0.25">
      <c r="A209" s="37">
        <v>27</v>
      </c>
      <c r="B209" s="37">
        <v>7</v>
      </c>
      <c r="C209" s="37">
        <v>21.56</v>
      </c>
    </row>
    <row r="210" spans="1:3" x14ac:dyDescent="0.25">
      <c r="A210" s="37">
        <v>28</v>
      </c>
      <c r="B210" s="37">
        <v>7</v>
      </c>
      <c r="C210" s="37">
        <v>21.54</v>
      </c>
    </row>
    <row r="211" spans="1:3" x14ac:dyDescent="0.25">
      <c r="A211" s="37">
        <v>29</v>
      </c>
      <c r="B211" s="37">
        <v>7</v>
      </c>
      <c r="C211" s="37">
        <v>21.51</v>
      </c>
    </row>
    <row r="212" spans="1:3" x14ac:dyDescent="0.25">
      <c r="A212" s="37">
        <v>30</v>
      </c>
      <c r="B212" s="37">
        <v>7</v>
      </c>
      <c r="C212" s="37">
        <v>21.48</v>
      </c>
    </row>
    <row r="213" spans="1:3" x14ac:dyDescent="0.25">
      <c r="A213" s="37">
        <v>31</v>
      </c>
      <c r="B213" s="37">
        <v>7</v>
      </c>
      <c r="C213" s="37">
        <v>21.44</v>
      </c>
    </row>
    <row r="214" spans="1:3" x14ac:dyDescent="0.25">
      <c r="A214" s="37">
        <v>1</v>
      </c>
      <c r="B214" s="37">
        <v>8</v>
      </c>
      <c r="C214" s="37">
        <v>21.41</v>
      </c>
    </row>
    <row r="215" spans="1:3" x14ac:dyDescent="0.25">
      <c r="A215" s="37">
        <v>2</v>
      </c>
      <c r="B215" s="37">
        <v>8</v>
      </c>
      <c r="C215" s="37">
        <v>21.36</v>
      </c>
    </row>
    <row r="216" spans="1:3" x14ac:dyDescent="0.25">
      <c r="A216" s="37">
        <v>3</v>
      </c>
      <c r="B216" s="37">
        <v>8</v>
      </c>
      <c r="C216" s="37">
        <v>21.32</v>
      </c>
    </row>
    <row r="217" spans="1:3" x14ac:dyDescent="0.25">
      <c r="A217" s="37">
        <v>4</v>
      </c>
      <c r="B217" s="37">
        <v>8</v>
      </c>
      <c r="C217" s="37">
        <v>21.27</v>
      </c>
    </row>
    <row r="218" spans="1:3" x14ac:dyDescent="0.25">
      <c r="A218" s="37">
        <v>5</v>
      </c>
      <c r="B218" s="37">
        <v>8</v>
      </c>
      <c r="C218" s="37">
        <v>21.22</v>
      </c>
    </row>
    <row r="219" spans="1:3" x14ac:dyDescent="0.25">
      <c r="A219" s="37">
        <v>6</v>
      </c>
      <c r="B219" s="37">
        <v>8</v>
      </c>
      <c r="C219" s="37">
        <v>21.16</v>
      </c>
    </row>
    <row r="220" spans="1:3" x14ac:dyDescent="0.25">
      <c r="A220" s="37">
        <v>7</v>
      </c>
      <c r="B220" s="37">
        <v>8</v>
      </c>
      <c r="C220" s="37">
        <v>21.11</v>
      </c>
    </row>
    <row r="221" spans="1:3" x14ac:dyDescent="0.25">
      <c r="A221" s="37">
        <v>8</v>
      </c>
      <c r="B221" s="37">
        <v>8</v>
      </c>
      <c r="C221" s="37">
        <v>21.05</v>
      </c>
    </row>
    <row r="222" spans="1:3" x14ac:dyDescent="0.25">
      <c r="A222" s="37">
        <v>9</v>
      </c>
      <c r="B222" s="37">
        <v>8</v>
      </c>
      <c r="C222" s="37">
        <v>20.98</v>
      </c>
    </row>
    <row r="223" spans="1:3" x14ac:dyDescent="0.25">
      <c r="A223" s="37">
        <v>10</v>
      </c>
      <c r="B223" s="37">
        <v>8</v>
      </c>
      <c r="C223" s="37">
        <v>20.92</v>
      </c>
    </row>
    <row r="224" spans="1:3" x14ac:dyDescent="0.25">
      <c r="A224" s="37">
        <v>11</v>
      </c>
      <c r="B224" s="37">
        <v>8</v>
      </c>
      <c r="C224" s="37">
        <v>20.85</v>
      </c>
    </row>
    <row r="225" spans="1:3" x14ac:dyDescent="0.25">
      <c r="A225" s="37">
        <v>12</v>
      </c>
      <c r="B225" s="37">
        <v>8</v>
      </c>
      <c r="C225" s="37">
        <v>20.77</v>
      </c>
    </row>
    <row r="226" spans="1:3" x14ac:dyDescent="0.25">
      <c r="A226" s="37">
        <v>13</v>
      </c>
      <c r="B226" s="37">
        <v>8</v>
      </c>
      <c r="C226" s="37">
        <v>20.71</v>
      </c>
    </row>
    <row r="227" spans="1:3" x14ac:dyDescent="0.25">
      <c r="A227" s="37">
        <v>14</v>
      </c>
      <c r="B227" s="37">
        <v>8</v>
      </c>
      <c r="C227" s="37">
        <v>20.63</v>
      </c>
    </row>
    <row r="228" spans="1:3" x14ac:dyDescent="0.25">
      <c r="A228" s="37">
        <v>15</v>
      </c>
      <c r="B228" s="37">
        <v>8</v>
      </c>
      <c r="C228" s="37">
        <v>20.56</v>
      </c>
    </row>
    <row r="229" spans="1:3" x14ac:dyDescent="0.25">
      <c r="A229" s="37">
        <v>16</v>
      </c>
      <c r="B229" s="37">
        <v>8</v>
      </c>
      <c r="C229" s="37">
        <v>20.48</v>
      </c>
    </row>
    <row r="230" spans="1:3" x14ac:dyDescent="0.25">
      <c r="A230" s="37">
        <v>17</v>
      </c>
      <c r="B230" s="37">
        <v>8</v>
      </c>
      <c r="C230" s="37">
        <v>20.399999999999999</v>
      </c>
    </row>
    <row r="231" spans="1:3" x14ac:dyDescent="0.25">
      <c r="A231" s="37">
        <v>18</v>
      </c>
      <c r="B231" s="37">
        <v>8</v>
      </c>
      <c r="C231" s="37">
        <v>20.309999999999999</v>
      </c>
    </row>
    <row r="232" spans="1:3" x14ac:dyDescent="0.25">
      <c r="A232" s="37">
        <v>19</v>
      </c>
      <c r="B232" s="37">
        <v>8</v>
      </c>
      <c r="C232" s="37">
        <v>20.23</v>
      </c>
    </row>
    <row r="233" spans="1:3" x14ac:dyDescent="0.25">
      <c r="A233" s="37">
        <v>20</v>
      </c>
      <c r="B233" s="37">
        <v>8</v>
      </c>
      <c r="C233" s="37">
        <v>20.14</v>
      </c>
    </row>
    <row r="234" spans="1:3" x14ac:dyDescent="0.25">
      <c r="A234" s="37">
        <v>21</v>
      </c>
      <c r="B234" s="37">
        <v>8</v>
      </c>
      <c r="C234" s="37">
        <v>20.05</v>
      </c>
    </row>
    <row r="235" spans="1:3" x14ac:dyDescent="0.25">
      <c r="A235" s="37">
        <v>22</v>
      </c>
      <c r="B235" s="37">
        <v>8</v>
      </c>
      <c r="C235" s="37">
        <v>19.97</v>
      </c>
    </row>
    <row r="236" spans="1:3" x14ac:dyDescent="0.25">
      <c r="A236" s="37">
        <v>23</v>
      </c>
      <c r="B236" s="37">
        <v>8</v>
      </c>
      <c r="C236" s="37">
        <v>19.88</v>
      </c>
    </row>
    <row r="237" spans="1:3" x14ac:dyDescent="0.25">
      <c r="A237" s="37">
        <v>24</v>
      </c>
      <c r="B237" s="37">
        <v>8</v>
      </c>
      <c r="C237" s="37">
        <v>19.79</v>
      </c>
    </row>
    <row r="238" spans="1:3" x14ac:dyDescent="0.25">
      <c r="A238" s="37">
        <v>25</v>
      </c>
      <c r="B238" s="37">
        <v>8</v>
      </c>
      <c r="C238" s="37">
        <v>19.690000000000001</v>
      </c>
    </row>
    <row r="239" spans="1:3" x14ac:dyDescent="0.25">
      <c r="A239" s="37">
        <v>26</v>
      </c>
      <c r="B239" s="37">
        <v>8</v>
      </c>
      <c r="C239" s="37">
        <v>19.600000000000001</v>
      </c>
    </row>
    <row r="240" spans="1:3" x14ac:dyDescent="0.25">
      <c r="A240" s="37">
        <v>27</v>
      </c>
      <c r="B240" s="37">
        <v>8</v>
      </c>
      <c r="C240" s="37">
        <v>19.5</v>
      </c>
    </row>
    <row r="241" spans="1:3" x14ac:dyDescent="0.25">
      <c r="A241" s="37">
        <v>28</v>
      </c>
      <c r="B241" s="37">
        <v>8</v>
      </c>
      <c r="C241" s="37">
        <v>19.41</v>
      </c>
    </row>
    <row r="242" spans="1:3" x14ac:dyDescent="0.25">
      <c r="A242" s="37">
        <v>29</v>
      </c>
      <c r="B242" s="37">
        <v>8</v>
      </c>
      <c r="C242" s="37">
        <v>19.309999999999999</v>
      </c>
    </row>
    <row r="243" spans="1:3" x14ac:dyDescent="0.25">
      <c r="A243" s="37">
        <v>30</v>
      </c>
      <c r="B243" s="37">
        <v>8</v>
      </c>
      <c r="C243" s="37">
        <v>19.21</v>
      </c>
    </row>
    <row r="244" spans="1:3" x14ac:dyDescent="0.25">
      <c r="A244" s="37">
        <v>31</v>
      </c>
      <c r="B244" s="37">
        <v>8</v>
      </c>
      <c r="C244" s="37">
        <v>19.11</v>
      </c>
    </row>
    <row r="245" spans="1:3" x14ac:dyDescent="0.25">
      <c r="A245" s="37">
        <v>1</v>
      </c>
      <c r="B245" s="37">
        <v>9</v>
      </c>
      <c r="C245" s="37">
        <v>19.02</v>
      </c>
    </row>
    <row r="246" spans="1:3" x14ac:dyDescent="0.25">
      <c r="A246" s="37">
        <v>2</v>
      </c>
      <c r="B246" s="37">
        <v>9</v>
      </c>
      <c r="C246" s="37">
        <v>18.899999999999999</v>
      </c>
    </row>
    <row r="247" spans="1:3" x14ac:dyDescent="0.25">
      <c r="A247" s="37">
        <v>3</v>
      </c>
      <c r="B247" s="37">
        <v>9</v>
      </c>
      <c r="C247" s="37">
        <v>18.8</v>
      </c>
    </row>
    <row r="248" spans="1:3" x14ac:dyDescent="0.25">
      <c r="A248" s="37">
        <v>4</v>
      </c>
      <c r="B248" s="37">
        <v>9</v>
      </c>
      <c r="C248" s="37">
        <v>18.7</v>
      </c>
    </row>
    <row r="249" spans="1:3" x14ac:dyDescent="0.25">
      <c r="A249" s="37">
        <v>5</v>
      </c>
      <c r="B249" s="37">
        <v>9</v>
      </c>
      <c r="C249" s="37">
        <v>18.600000000000001</v>
      </c>
    </row>
    <row r="250" spans="1:3" x14ac:dyDescent="0.25">
      <c r="A250" s="37">
        <v>6</v>
      </c>
      <c r="B250" s="37">
        <v>9</v>
      </c>
      <c r="C250" s="37">
        <v>18.489999999999998</v>
      </c>
    </row>
    <row r="251" spans="1:3" x14ac:dyDescent="0.25">
      <c r="A251" s="37">
        <v>7</v>
      </c>
      <c r="B251" s="37">
        <v>9</v>
      </c>
      <c r="C251" s="37">
        <v>18.38</v>
      </c>
    </row>
    <row r="252" spans="1:3" x14ac:dyDescent="0.25">
      <c r="A252" s="37">
        <v>8</v>
      </c>
      <c r="B252" s="37">
        <v>9</v>
      </c>
      <c r="C252" s="37">
        <v>18.27</v>
      </c>
    </row>
    <row r="253" spans="1:3" x14ac:dyDescent="0.25">
      <c r="A253" s="37">
        <v>9</v>
      </c>
      <c r="B253" s="37">
        <v>9</v>
      </c>
      <c r="C253" s="37">
        <v>18.170000000000002</v>
      </c>
    </row>
    <row r="254" spans="1:3" x14ac:dyDescent="0.25">
      <c r="A254" s="37">
        <v>10</v>
      </c>
      <c r="B254" s="37">
        <v>9</v>
      </c>
      <c r="C254" s="37">
        <v>18.059999999999999</v>
      </c>
    </row>
    <row r="255" spans="1:3" x14ac:dyDescent="0.25">
      <c r="A255" s="37">
        <v>11</v>
      </c>
      <c r="B255" s="37">
        <v>9</v>
      </c>
      <c r="C255" s="37">
        <v>17.95</v>
      </c>
    </row>
    <row r="256" spans="1:3" x14ac:dyDescent="0.25">
      <c r="A256" s="37">
        <v>12</v>
      </c>
      <c r="B256" s="37">
        <v>9</v>
      </c>
      <c r="C256" s="37">
        <v>17.84</v>
      </c>
    </row>
    <row r="257" spans="1:3" x14ac:dyDescent="0.25">
      <c r="A257" s="37">
        <v>13</v>
      </c>
      <c r="B257" s="37">
        <v>9</v>
      </c>
      <c r="C257" s="37">
        <v>17.72</v>
      </c>
    </row>
    <row r="258" spans="1:3" x14ac:dyDescent="0.25">
      <c r="A258" s="37">
        <v>14</v>
      </c>
      <c r="B258" s="37">
        <v>9</v>
      </c>
      <c r="C258" s="37">
        <v>17.61</v>
      </c>
    </row>
    <row r="259" spans="1:3" x14ac:dyDescent="0.25">
      <c r="A259" s="37">
        <v>15</v>
      </c>
      <c r="B259" s="37">
        <v>9</v>
      </c>
      <c r="C259" s="37">
        <v>17.5</v>
      </c>
    </row>
    <row r="260" spans="1:3" x14ac:dyDescent="0.25">
      <c r="A260" s="37">
        <v>16</v>
      </c>
      <c r="B260" s="37">
        <v>9</v>
      </c>
      <c r="C260" s="37">
        <v>17.38</v>
      </c>
    </row>
    <row r="261" spans="1:3" x14ac:dyDescent="0.25">
      <c r="A261" s="37">
        <v>17</v>
      </c>
      <c r="B261" s="37">
        <v>9</v>
      </c>
      <c r="C261" s="37">
        <v>17.27</v>
      </c>
    </row>
    <row r="262" spans="1:3" x14ac:dyDescent="0.25">
      <c r="A262" s="37">
        <v>18</v>
      </c>
      <c r="B262" s="37">
        <v>9</v>
      </c>
      <c r="C262" s="37">
        <v>17.16</v>
      </c>
    </row>
    <row r="263" spans="1:3" x14ac:dyDescent="0.25">
      <c r="A263" s="37">
        <v>19</v>
      </c>
      <c r="B263" s="37">
        <v>9</v>
      </c>
      <c r="C263" s="37">
        <v>17.04</v>
      </c>
    </row>
    <row r="264" spans="1:3" x14ac:dyDescent="0.25">
      <c r="A264" s="37">
        <v>20</v>
      </c>
      <c r="B264" s="37">
        <v>9</v>
      </c>
      <c r="C264" s="37">
        <v>16.91</v>
      </c>
    </row>
    <row r="265" spans="1:3" x14ac:dyDescent="0.25">
      <c r="A265" s="37">
        <v>21</v>
      </c>
      <c r="B265" s="37">
        <v>9</v>
      </c>
      <c r="C265" s="37">
        <v>16.8</v>
      </c>
    </row>
    <row r="266" spans="1:3" x14ac:dyDescent="0.25">
      <c r="A266" s="37">
        <v>22</v>
      </c>
      <c r="B266" s="37">
        <v>9</v>
      </c>
      <c r="C266" s="37">
        <v>16.68</v>
      </c>
    </row>
    <row r="267" spans="1:3" x14ac:dyDescent="0.25">
      <c r="A267" s="37">
        <v>23</v>
      </c>
      <c r="B267" s="37">
        <v>9</v>
      </c>
      <c r="C267" s="37">
        <v>16.55</v>
      </c>
    </row>
    <row r="268" spans="1:3" x14ac:dyDescent="0.25">
      <c r="A268" s="37">
        <v>24</v>
      </c>
      <c r="B268" s="37">
        <v>9</v>
      </c>
      <c r="C268" s="37">
        <v>16.43</v>
      </c>
    </row>
    <row r="269" spans="1:3" x14ac:dyDescent="0.25">
      <c r="A269" s="37">
        <v>25</v>
      </c>
      <c r="B269" s="37">
        <v>9</v>
      </c>
      <c r="C269" s="37">
        <v>16.3</v>
      </c>
    </row>
    <row r="270" spans="1:3" x14ac:dyDescent="0.25">
      <c r="A270" s="37">
        <v>26</v>
      </c>
      <c r="B270" s="37">
        <v>9</v>
      </c>
      <c r="C270" s="37">
        <v>16.170000000000002</v>
      </c>
    </row>
    <row r="271" spans="1:3" x14ac:dyDescent="0.25">
      <c r="A271" s="37">
        <v>27</v>
      </c>
      <c r="B271" s="37">
        <v>9</v>
      </c>
      <c r="C271" s="37">
        <v>16.05</v>
      </c>
    </row>
    <row r="272" spans="1:3" x14ac:dyDescent="0.25">
      <c r="A272" s="37">
        <v>28</v>
      </c>
      <c r="B272" s="37">
        <v>9</v>
      </c>
      <c r="C272" s="37">
        <v>15.92</v>
      </c>
    </row>
    <row r="273" spans="1:3" x14ac:dyDescent="0.25">
      <c r="A273" s="37">
        <v>29</v>
      </c>
      <c r="B273" s="37">
        <v>9</v>
      </c>
      <c r="C273" s="37">
        <v>15.8</v>
      </c>
    </row>
    <row r="274" spans="1:3" x14ac:dyDescent="0.25">
      <c r="A274" s="37">
        <v>30</v>
      </c>
      <c r="B274" s="37">
        <v>9</v>
      </c>
      <c r="C274" s="37">
        <v>15.67</v>
      </c>
    </row>
    <row r="275" spans="1:3" x14ac:dyDescent="0.25">
      <c r="A275" s="37">
        <v>1</v>
      </c>
      <c r="B275" s="37">
        <v>10</v>
      </c>
      <c r="C275" s="37">
        <v>15.53</v>
      </c>
    </row>
    <row r="276" spans="1:3" x14ac:dyDescent="0.25">
      <c r="A276" s="37">
        <v>2</v>
      </c>
      <c r="B276" s="37">
        <v>10</v>
      </c>
      <c r="C276" s="37">
        <v>15.39</v>
      </c>
    </row>
    <row r="277" spans="1:3" x14ac:dyDescent="0.25">
      <c r="A277" s="37">
        <v>3</v>
      </c>
      <c r="B277" s="37">
        <v>10</v>
      </c>
      <c r="C277" s="37">
        <v>15.26</v>
      </c>
    </row>
    <row r="278" spans="1:3" x14ac:dyDescent="0.25">
      <c r="A278" s="37">
        <v>4</v>
      </c>
      <c r="B278" s="37">
        <v>10</v>
      </c>
      <c r="C278" s="37">
        <v>15.12</v>
      </c>
    </row>
    <row r="279" spans="1:3" x14ac:dyDescent="0.25">
      <c r="A279" s="37">
        <v>5</v>
      </c>
      <c r="B279" s="37">
        <v>10</v>
      </c>
      <c r="C279" s="37">
        <v>14.98</v>
      </c>
    </row>
    <row r="280" spans="1:3" x14ac:dyDescent="0.25">
      <c r="A280" s="37">
        <v>6</v>
      </c>
      <c r="B280" s="37">
        <v>10</v>
      </c>
      <c r="C280" s="37">
        <v>14.85</v>
      </c>
    </row>
    <row r="281" spans="1:3" x14ac:dyDescent="0.25">
      <c r="A281" s="37">
        <v>7</v>
      </c>
      <c r="B281" s="37">
        <v>10</v>
      </c>
      <c r="C281" s="37">
        <v>14.71</v>
      </c>
    </row>
    <row r="282" spans="1:3" x14ac:dyDescent="0.25">
      <c r="A282" s="37">
        <v>8</v>
      </c>
      <c r="B282" s="37">
        <v>10</v>
      </c>
      <c r="C282" s="37">
        <v>14.57</v>
      </c>
    </row>
    <row r="283" spans="1:3" x14ac:dyDescent="0.25">
      <c r="A283" s="37">
        <v>9</v>
      </c>
      <c r="B283" s="37">
        <v>10</v>
      </c>
      <c r="C283" s="37">
        <v>14.42</v>
      </c>
    </row>
    <row r="284" spans="1:3" x14ac:dyDescent="0.25">
      <c r="A284" s="37">
        <v>10</v>
      </c>
      <c r="B284" s="37">
        <v>10</v>
      </c>
      <c r="C284" s="37">
        <v>14.28</v>
      </c>
    </row>
    <row r="285" spans="1:3" x14ac:dyDescent="0.25">
      <c r="A285" s="37">
        <v>11</v>
      </c>
      <c r="B285" s="37">
        <v>10</v>
      </c>
      <c r="C285" s="37">
        <v>14.13</v>
      </c>
    </row>
    <row r="286" spans="1:3" x14ac:dyDescent="0.25">
      <c r="A286" s="37">
        <v>12</v>
      </c>
      <c r="B286" s="37">
        <v>10</v>
      </c>
      <c r="C286" s="37">
        <v>13.99</v>
      </c>
    </row>
    <row r="287" spans="1:3" x14ac:dyDescent="0.25">
      <c r="A287" s="37">
        <v>13</v>
      </c>
      <c r="B287" s="37">
        <v>10</v>
      </c>
      <c r="C287" s="37">
        <v>13.85</v>
      </c>
    </row>
    <row r="288" spans="1:3" x14ac:dyDescent="0.25">
      <c r="A288" s="37">
        <v>14</v>
      </c>
      <c r="B288" s="37">
        <v>10</v>
      </c>
      <c r="C288" s="37">
        <v>13.69</v>
      </c>
    </row>
    <row r="289" spans="1:3" x14ac:dyDescent="0.25">
      <c r="A289" s="37">
        <v>15</v>
      </c>
      <c r="B289" s="37">
        <v>10</v>
      </c>
      <c r="C289" s="37">
        <v>13.54</v>
      </c>
    </row>
    <row r="290" spans="1:3" x14ac:dyDescent="0.25">
      <c r="A290" s="37">
        <v>16</v>
      </c>
      <c r="B290" s="37">
        <v>10</v>
      </c>
      <c r="C290" s="37">
        <v>13.4</v>
      </c>
    </row>
    <row r="291" spans="1:3" x14ac:dyDescent="0.25">
      <c r="A291" s="37">
        <v>17</v>
      </c>
      <c r="B291" s="37">
        <v>10</v>
      </c>
      <c r="C291" s="37">
        <v>13.24</v>
      </c>
    </row>
    <row r="292" spans="1:3" x14ac:dyDescent="0.25">
      <c r="A292" s="37">
        <v>18</v>
      </c>
      <c r="B292" s="37">
        <v>10</v>
      </c>
      <c r="C292" s="37">
        <v>13.09</v>
      </c>
    </row>
    <row r="293" spans="1:3" x14ac:dyDescent="0.25">
      <c r="A293" s="37">
        <v>19</v>
      </c>
      <c r="B293" s="37">
        <v>10</v>
      </c>
      <c r="C293" s="37">
        <v>12.94</v>
      </c>
    </row>
    <row r="294" spans="1:3" x14ac:dyDescent="0.25">
      <c r="A294" s="37">
        <v>20</v>
      </c>
      <c r="B294" s="37">
        <v>10</v>
      </c>
      <c r="C294" s="37">
        <v>12.79</v>
      </c>
    </row>
    <row r="295" spans="1:3" x14ac:dyDescent="0.25">
      <c r="A295" s="37">
        <v>21</v>
      </c>
      <c r="B295" s="37">
        <v>10</v>
      </c>
      <c r="C295" s="37">
        <v>12.63</v>
      </c>
    </row>
    <row r="296" spans="1:3" x14ac:dyDescent="0.25">
      <c r="A296" s="37">
        <v>22</v>
      </c>
      <c r="B296" s="37">
        <v>10</v>
      </c>
      <c r="C296" s="37">
        <v>12.49</v>
      </c>
    </row>
    <row r="297" spans="1:3" x14ac:dyDescent="0.25">
      <c r="A297" s="37">
        <v>23</v>
      </c>
      <c r="B297" s="37">
        <v>10</v>
      </c>
      <c r="C297" s="37">
        <v>12.33</v>
      </c>
    </row>
    <row r="298" spans="1:3" x14ac:dyDescent="0.25">
      <c r="A298" s="37">
        <v>24</v>
      </c>
      <c r="B298" s="37">
        <v>10</v>
      </c>
      <c r="C298" s="37">
        <v>12.18</v>
      </c>
    </row>
    <row r="299" spans="1:3" x14ac:dyDescent="0.25">
      <c r="A299" s="37">
        <v>25</v>
      </c>
      <c r="B299" s="37">
        <v>10</v>
      </c>
      <c r="C299" s="37">
        <v>12.03</v>
      </c>
    </row>
    <row r="300" spans="1:3" x14ac:dyDescent="0.25">
      <c r="A300" s="37">
        <v>26</v>
      </c>
      <c r="B300" s="37">
        <v>10</v>
      </c>
      <c r="C300" s="37">
        <v>11.87</v>
      </c>
    </row>
    <row r="301" spans="1:3" x14ac:dyDescent="0.25">
      <c r="A301" s="37">
        <v>27</v>
      </c>
      <c r="B301" s="37">
        <v>10</v>
      </c>
      <c r="C301" s="37">
        <v>11.71</v>
      </c>
    </row>
    <row r="302" spans="1:3" x14ac:dyDescent="0.25">
      <c r="A302" s="37">
        <v>28</v>
      </c>
      <c r="B302" s="37">
        <v>10</v>
      </c>
      <c r="C302" s="37">
        <v>11.56</v>
      </c>
    </row>
    <row r="303" spans="1:3" x14ac:dyDescent="0.25">
      <c r="A303" s="37">
        <v>29</v>
      </c>
      <c r="B303" s="37">
        <v>10</v>
      </c>
      <c r="C303" s="37">
        <v>11.4</v>
      </c>
    </row>
    <row r="304" spans="1:3" x14ac:dyDescent="0.25">
      <c r="A304" s="37">
        <v>30</v>
      </c>
      <c r="B304" s="37">
        <v>10</v>
      </c>
      <c r="C304" s="37">
        <v>11.25</v>
      </c>
    </row>
    <row r="305" spans="1:3" x14ac:dyDescent="0.25">
      <c r="A305" s="37">
        <v>31</v>
      </c>
      <c r="B305" s="37">
        <v>10</v>
      </c>
      <c r="C305" s="37">
        <v>11.1</v>
      </c>
    </row>
    <row r="306" spans="1:3" x14ac:dyDescent="0.25">
      <c r="A306" s="37">
        <v>1</v>
      </c>
      <c r="B306" s="37">
        <v>11</v>
      </c>
      <c r="C306" s="37">
        <v>10.95</v>
      </c>
    </row>
    <row r="307" spans="1:3" x14ac:dyDescent="0.25">
      <c r="A307" s="37">
        <v>2</v>
      </c>
      <c r="B307" s="37">
        <v>11</v>
      </c>
      <c r="C307" s="37">
        <v>10.8</v>
      </c>
    </row>
    <row r="308" spans="1:3" x14ac:dyDescent="0.25">
      <c r="A308" s="37">
        <v>3</v>
      </c>
      <c r="B308" s="37">
        <v>11</v>
      </c>
      <c r="C308" s="37">
        <v>10.64</v>
      </c>
    </row>
    <row r="309" spans="1:3" x14ac:dyDescent="0.25">
      <c r="A309" s="37">
        <v>4</v>
      </c>
      <c r="B309" s="37">
        <v>11</v>
      </c>
      <c r="C309" s="37">
        <v>10.5</v>
      </c>
    </row>
    <row r="310" spans="1:3" x14ac:dyDescent="0.25">
      <c r="A310" s="37">
        <v>5</v>
      </c>
      <c r="B310" s="37">
        <v>11</v>
      </c>
      <c r="C310" s="37">
        <v>10.34</v>
      </c>
    </row>
    <row r="311" spans="1:3" x14ac:dyDescent="0.25">
      <c r="A311" s="37">
        <v>6</v>
      </c>
      <c r="B311" s="37">
        <v>11</v>
      </c>
      <c r="C311" s="37">
        <v>10.199999999999999</v>
      </c>
    </row>
    <row r="312" spans="1:3" x14ac:dyDescent="0.25">
      <c r="A312" s="37">
        <v>7</v>
      </c>
      <c r="B312" s="37">
        <v>11</v>
      </c>
      <c r="C312" s="37">
        <v>10.050000000000001</v>
      </c>
    </row>
    <row r="313" spans="1:3" x14ac:dyDescent="0.25">
      <c r="A313" s="37">
        <v>8</v>
      </c>
      <c r="B313" s="37">
        <v>11</v>
      </c>
      <c r="C313" s="37">
        <v>9.91</v>
      </c>
    </row>
    <row r="314" spans="1:3" x14ac:dyDescent="0.25">
      <c r="A314" s="37">
        <v>9</v>
      </c>
      <c r="B314" s="37">
        <v>11</v>
      </c>
      <c r="C314" s="37">
        <v>9.76</v>
      </c>
    </row>
    <row r="315" spans="1:3" x14ac:dyDescent="0.25">
      <c r="A315" s="37">
        <v>10</v>
      </c>
      <c r="B315" s="37">
        <v>11</v>
      </c>
      <c r="C315" s="37">
        <v>9.6199999999999992</v>
      </c>
    </row>
    <row r="316" spans="1:3" x14ac:dyDescent="0.25">
      <c r="A316" s="37">
        <v>11</v>
      </c>
      <c r="B316" s="37">
        <v>11</v>
      </c>
      <c r="C316" s="37">
        <v>9.48</v>
      </c>
    </row>
    <row r="317" spans="1:3" x14ac:dyDescent="0.25">
      <c r="A317" s="37">
        <v>12</v>
      </c>
      <c r="B317" s="37">
        <v>11</v>
      </c>
      <c r="C317" s="37">
        <v>9.35</v>
      </c>
    </row>
    <row r="318" spans="1:3" x14ac:dyDescent="0.25">
      <c r="A318" s="37">
        <v>13</v>
      </c>
      <c r="B318" s="37">
        <v>11</v>
      </c>
      <c r="C318" s="37">
        <v>9.1999999999999993</v>
      </c>
    </row>
    <row r="319" spans="1:3" x14ac:dyDescent="0.25">
      <c r="A319" s="37">
        <v>14</v>
      </c>
      <c r="B319" s="37">
        <v>11</v>
      </c>
      <c r="C319" s="37">
        <v>9.06</v>
      </c>
    </row>
    <row r="320" spans="1:3" x14ac:dyDescent="0.25">
      <c r="A320" s="37">
        <v>15</v>
      </c>
      <c r="B320" s="37">
        <v>11</v>
      </c>
      <c r="C320" s="37">
        <v>8.94</v>
      </c>
    </row>
    <row r="321" spans="1:3" x14ac:dyDescent="0.25">
      <c r="A321" s="37">
        <v>16</v>
      </c>
      <c r="B321" s="37">
        <v>11</v>
      </c>
      <c r="C321" s="37">
        <v>8.8000000000000007</v>
      </c>
    </row>
    <row r="322" spans="1:3" x14ac:dyDescent="0.25">
      <c r="A322" s="37">
        <v>17</v>
      </c>
      <c r="B322" s="37">
        <v>11</v>
      </c>
      <c r="C322" s="37">
        <v>8.68</v>
      </c>
    </row>
    <row r="323" spans="1:3" x14ac:dyDescent="0.25">
      <c r="A323" s="37">
        <v>18</v>
      </c>
      <c r="B323" s="37">
        <v>11</v>
      </c>
      <c r="C323" s="37">
        <v>8.5500000000000007</v>
      </c>
    </row>
    <row r="324" spans="1:3" x14ac:dyDescent="0.25">
      <c r="A324" s="37">
        <v>19</v>
      </c>
      <c r="B324" s="37">
        <v>11</v>
      </c>
      <c r="C324" s="37">
        <v>8.42</v>
      </c>
    </row>
    <row r="325" spans="1:3" x14ac:dyDescent="0.25">
      <c r="A325" s="37">
        <v>20</v>
      </c>
      <c r="B325" s="37">
        <v>11</v>
      </c>
      <c r="C325" s="37">
        <v>8.3000000000000007</v>
      </c>
    </row>
    <row r="326" spans="1:3" x14ac:dyDescent="0.25">
      <c r="A326" s="37">
        <v>21</v>
      </c>
      <c r="B326" s="37">
        <v>11</v>
      </c>
      <c r="C326" s="37">
        <v>8.18</v>
      </c>
    </row>
    <row r="327" spans="1:3" x14ac:dyDescent="0.25">
      <c r="A327" s="37">
        <v>22</v>
      </c>
      <c r="B327" s="37">
        <v>11</v>
      </c>
      <c r="C327" s="37">
        <v>8.06</v>
      </c>
    </row>
    <row r="328" spans="1:3" x14ac:dyDescent="0.25">
      <c r="A328" s="37">
        <v>23</v>
      </c>
      <c r="B328" s="37">
        <v>11</v>
      </c>
      <c r="C328" s="37">
        <v>7.95</v>
      </c>
    </row>
    <row r="329" spans="1:3" x14ac:dyDescent="0.25">
      <c r="A329" s="37">
        <v>24</v>
      </c>
      <c r="B329" s="37">
        <v>11</v>
      </c>
      <c r="C329" s="37">
        <v>7.84</v>
      </c>
    </row>
    <row r="330" spans="1:3" x14ac:dyDescent="0.25">
      <c r="A330" s="37">
        <v>25</v>
      </c>
      <c r="B330" s="37">
        <v>11</v>
      </c>
      <c r="C330" s="37">
        <v>7.73</v>
      </c>
    </row>
    <row r="331" spans="1:3" x14ac:dyDescent="0.25">
      <c r="A331" s="37">
        <v>26</v>
      </c>
      <c r="B331" s="37">
        <v>11</v>
      </c>
      <c r="C331" s="37">
        <v>7.63</v>
      </c>
    </row>
    <row r="332" spans="1:3" x14ac:dyDescent="0.25">
      <c r="A332" s="37">
        <v>27</v>
      </c>
      <c r="B332" s="37">
        <v>11</v>
      </c>
      <c r="C332" s="37">
        <v>7.52</v>
      </c>
    </row>
    <row r="333" spans="1:3" x14ac:dyDescent="0.25">
      <c r="A333" s="37">
        <v>28</v>
      </c>
      <c r="B333" s="37">
        <v>11</v>
      </c>
      <c r="C333" s="37">
        <v>7.41</v>
      </c>
    </row>
    <row r="334" spans="1:3" x14ac:dyDescent="0.25">
      <c r="A334" s="37">
        <v>29</v>
      </c>
      <c r="B334" s="37">
        <v>11</v>
      </c>
      <c r="C334" s="37">
        <v>7.32</v>
      </c>
    </row>
    <row r="335" spans="1:3" x14ac:dyDescent="0.25">
      <c r="A335" s="37">
        <v>30</v>
      </c>
      <c r="B335" s="37">
        <v>11</v>
      </c>
      <c r="C335" s="37">
        <v>7.22</v>
      </c>
    </row>
    <row r="336" spans="1:3" x14ac:dyDescent="0.25">
      <c r="A336" s="37">
        <v>1</v>
      </c>
      <c r="B336" s="37">
        <v>12</v>
      </c>
      <c r="C336" s="37">
        <v>7.12</v>
      </c>
    </row>
    <row r="337" spans="1:3" x14ac:dyDescent="0.25">
      <c r="A337" s="37">
        <v>2</v>
      </c>
      <c r="B337" s="37">
        <v>12</v>
      </c>
      <c r="C337" s="37">
        <v>7.03</v>
      </c>
    </row>
    <row r="338" spans="1:3" x14ac:dyDescent="0.25">
      <c r="A338" s="37">
        <v>3</v>
      </c>
      <c r="B338" s="37">
        <v>12</v>
      </c>
      <c r="C338" s="37">
        <v>6.94</v>
      </c>
    </row>
    <row r="339" spans="1:3" x14ac:dyDescent="0.25">
      <c r="A339" s="37">
        <v>4</v>
      </c>
      <c r="B339" s="37">
        <v>12</v>
      </c>
      <c r="C339" s="37">
        <v>6.86</v>
      </c>
    </row>
    <row r="340" spans="1:3" x14ac:dyDescent="0.25">
      <c r="A340" s="37">
        <v>5</v>
      </c>
      <c r="B340" s="37">
        <v>12</v>
      </c>
      <c r="C340" s="37">
        <v>6.78</v>
      </c>
    </row>
    <row r="341" spans="1:3" x14ac:dyDescent="0.25">
      <c r="A341" s="37">
        <v>6</v>
      </c>
      <c r="B341" s="37">
        <v>12</v>
      </c>
      <c r="C341" s="37">
        <v>6.69</v>
      </c>
    </row>
    <row r="342" spans="1:3" x14ac:dyDescent="0.25">
      <c r="A342" s="37">
        <v>7</v>
      </c>
      <c r="B342" s="37">
        <v>12</v>
      </c>
      <c r="C342" s="37">
        <v>6.61</v>
      </c>
    </row>
    <row r="343" spans="1:3" x14ac:dyDescent="0.25">
      <c r="A343" s="37">
        <v>8</v>
      </c>
      <c r="B343" s="37">
        <v>12</v>
      </c>
      <c r="C343" s="37">
        <v>6.54</v>
      </c>
    </row>
    <row r="344" spans="1:3" x14ac:dyDescent="0.25">
      <c r="A344" s="37">
        <v>9</v>
      </c>
      <c r="B344" s="37">
        <v>12</v>
      </c>
      <c r="C344" s="37">
        <v>6.47</v>
      </c>
    </row>
    <row r="345" spans="1:3" x14ac:dyDescent="0.25">
      <c r="A345" s="37">
        <v>10</v>
      </c>
      <c r="B345" s="37">
        <v>12</v>
      </c>
      <c r="C345" s="37">
        <v>6.4</v>
      </c>
    </row>
    <row r="346" spans="1:3" x14ac:dyDescent="0.25">
      <c r="A346" s="37">
        <v>11</v>
      </c>
      <c r="B346" s="37">
        <v>12</v>
      </c>
      <c r="C346" s="37">
        <v>6.33</v>
      </c>
    </row>
    <row r="347" spans="1:3" x14ac:dyDescent="0.25">
      <c r="A347" s="37">
        <v>12</v>
      </c>
      <c r="B347" s="37">
        <v>12</v>
      </c>
      <c r="C347" s="37">
        <v>6.26</v>
      </c>
    </row>
    <row r="348" spans="1:3" x14ac:dyDescent="0.25">
      <c r="A348" s="37">
        <v>13</v>
      </c>
      <c r="B348" s="37">
        <v>12</v>
      </c>
      <c r="C348" s="37">
        <v>6.2</v>
      </c>
    </row>
    <row r="349" spans="1:3" x14ac:dyDescent="0.25">
      <c r="A349" s="37">
        <v>14</v>
      </c>
      <c r="B349" s="37">
        <v>12</v>
      </c>
      <c r="C349" s="37">
        <v>6.14</v>
      </c>
    </row>
    <row r="350" spans="1:3" x14ac:dyDescent="0.25">
      <c r="A350" s="37">
        <v>15</v>
      </c>
      <c r="B350" s="37">
        <v>12</v>
      </c>
      <c r="C350" s="37">
        <v>6.08</v>
      </c>
    </row>
    <row r="351" spans="1:3" x14ac:dyDescent="0.25">
      <c r="A351" s="37">
        <v>16</v>
      </c>
      <c r="B351" s="37">
        <v>12</v>
      </c>
      <c r="C351" s="37">
        <v>6.02</v>
      </c>
    </row>
    <row r="352" spans="1:3" x14ac:dyDescent="0.25">
      <c r="A352" s="37">
        <v>17</v>
      </c>
      <c r="B352" s="37">
        <v>12</v>
      </c>
      <c r="C352" s="37">
        <v>5.97</v>
      </c>
    </row>
    <row r="353" spans="1:3" x14ac:dyDescent="0.25">
      <c r="A353" s="37">
        <v>18</v>
      </c>
      <c r="B353" s="37">
        <v>12</v>
      </c>
      <c r="C353" s="37">
        <v>5.92</v>
      </c>
    </row>
    <row r="354" spans="1:3" x14ac:dyDescent="0.25">
      <c r="A354" s="37">
        <v>19</v>
      </c>
      <c r="B354" s="37">
        <v>12</v>
      </c>
      <c r="C354" s="37">
        <v>5.87</v>
      </c>
    </row>
    <row r="355" spans="1:3" x14ac:dyDescent="0.25">
      <c r="A355" s="37">
        <v>20</v>
      </c>
      <c r="B355" s="37">
        <v>12</v>
      </c>
      <c r="C355" s="37">
        <v>5.82</v>
      </c>
    </row>
    <row r="356" spans="1:3" x14ac:dyDescent="0.25">
      <c r="A356" s="37">
        <v>21</v>
      </c>
      <c r="B356" s="37">
        <v>12</v>
      </c>
      <c r="C356" s="37">
        <v>5.77</v>
      </c>
    </row>
    <row r="357" spans="1:3" x14ac:dyDescent="0.25">
      <c r="A357" s="37">
        <v>22</v>
      </c>
      <c r="B357" s="37">
        <v>12</v>
      </c>
      <c r="C357" s="37">
        <v>5.72</v>
      </c>
    </row>
    <row r="358" spans="1:3" x14ac:dyDescent="0.25">
      <c r="A358" s="37">
        <v>23</v>
      </c>
      <c r="B358" s="37">
        <v>12</v>
      </c>
      <c r="C358" s="37">
        <v>5.68</v>
      </c>
    </row>
    <row r="359" spans="1:3" x14ac:dyDescent="0.25">
      <c r="A359" s="37">
        <v>24</v>
      </c>
      <c r="B359" s="37">
        <v>12</v>
      </c>
      <c r="C359" s="37">
        <v>5.64</v>
      </c>
    </row>
    <row r="360" spans="1:3" x14ac:dyDescent="0.25">
      <c r="A360" s="37">
        <v>25</v>
      </c>
      <c r="B360" s="37">
        <v>12</v>
      </c>
      <c r="C360" s="37">
        <v>5.6</v>
      </c>
    </row>
    <row r="361" spans="1:3" x14ac:dyDescent="0.25">
      <c r="A361" s="37">
        <v>26</v>
      </c>
      <c r="B361" s="37">
        <v>12</v>
      </c>
      <c r="C361" s="37">
        <v>5.56</v>
      </c>
    </row>
    <row r="362" spans="1:3" x14ac:dyDescent="0.25">
      <c r="A362" s="37">
        <v>27</v>
      </c>
      <c r="B362" s="37">
        <v>12</v>
      </c>
      <c r="C362" s="37">
        <v>5.52</v>
      </c>
    </row>
    <row r="363" spans="1:3" x14ac:dyDescent="0.25">
      <c r="A363" s="37">
        <v>28</v>
      </c>
      <c r="B363" s="37">
        <v>12</v>
      </c>
      <c r="C363" s="37">
        <v>5.49</v>
      </c>
    </row>
    <row r="364" spans="1:3" x14ac:dyDescent="0.25">
      <c r="A364" s="37">
        <v>29</v>
      </c>
      <c r="B364" s="37">
        <v>12</v>
      </c>
      <c r="C364" s="37">
        <v>5.46</v>
      </c>
    </row>
    <row r="365" spans="1:3" x14ac:dyDescent="0.25">
      <c r="A365" s="37">
        <v>30</v>
      </c>
      <c r="B365" s="37">
        <v>12</v>
      </c>
      <c r="C365" s="37">
        <v>5.43</v>
      </c>
    </row>
    <row r="366" spans="1:3" x14ac:dyDescent="0.25">
      <c r="A366" s="37">
        <v>31</v>
      </c>
      <c r="B366" s="37">
        <v>12</v>
      </c>
      <c r="C366" s="37">
        <v>5.39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L90"/>
  <sheetViews>
    <sheetView zoomScaleNormal="100" workbookViewId="0">
      <pane xSplit="2" ySplit="1" topLeftCell="C2" activePane="bottomRight" state="frozen"/>
      <selection pane="topRight" activeCell="C1" sqref="C1"/>
      <selection pane="bottomLeft" activeCell="A2" sqref="A2"/>
      <selection pane="bottomRight" activeCell="C15" sqref="C15"/>
    </sheetView>
  </sheetViews>
  <sheetFormatPr baseColWidth="10" defaultColWidth="11.453125" defaultRowHeight="12.5" x14ac:dyDescent="0.25"/>
  <cols>
    <col min="1" max="1" width="18.54296875" style="52" bestFit="1" customWidth="1"/>
    <col min="2" max="2" width="29.54296875" style="24" customWidth="1"/>
    <col min="3" max="4" width="20" style="24" customWidth="1"/>
    <col min="5" max="6" width="20.54296875" style="24" customWidth="1"/>
    <col min="7" max="11" width="20" style="24" customWidth="1"/>
    <col min="12" max="12" width="11.453125" style="24" customWidth="1"/>
  </cols>
  <sheetData>
    <row r="1" spans="1:11" ht="13" x14ac:dyDescent="0.3">
      <c r="A1" s="50" t="s">
        <v>130</v>
      </c>
      <c r="B1" s="50" t="s">
        <v>131</v>
      </c>
      <c r="C1" s="74" t="s">
        <v>65</v>
      </c>
      <c r="D1" s="75" t="s">
        <v>66</v>
      </c>
      <c r="E1" s="74" t="s">
        <v>67</v>
      </c>
      <c r="F1" s="74" t="s">
        <v>68</v>
      </c>
      <c r="G1" s="75" t="s">
        <v>69</v>
      </c>
      <c r="H1" s="75" t="s">
        <v>70</v>
      </c>
      <c r="I1" s="75" t="s">
        <v>71</v>
      </c>
      <c r="J1" s="75" t="s">
        <v>72</v>
      </c>
      <c r="K1" s="75" t="s">
        <v>73</v>
      </c>
    </row>
    <row r="2" spans="1:11" ht="14.5" x14ac:dyDescent="0.35">
      <c r="A2" s="51">
        <v>6088001</v>
      </c>
      <c r="B2" s="73" t="s">
        <v>87</v>
      </c>
      <c r="C2" s="121">
        <v>1.2842794500000001</v>
      </c>
      <c r="D2" s="121">
        <v>1.67150642</v>
      </c>
      <c r="E2" s="81">
        <v>1</v>
      </c>
      <c r="F2" s="81">
        <v>1</v>
      </c>
      <c r="G2" s="121">
        <v>1.16450385</v>
      </c>
      <c r="H2" s="121">
        <v>1.40306325</v>
      </c>
      <c r="I2" s="121">
        <v>1.53937054</v>
      </c>
      <c r="J2" s="121">
        <v>1.7407952600000001</v>
      </c>
      <c r="K2" s="121">
        <v>1.59360291</v>
      </c>
    </row>
    <row r="3" spans="1:11" ht="14.5" x14ac:dyDescent="0.35">
      <c r="A3" s="51">
        <v>13054001</v>
      </c>
      <c r="B3" s="73" t="s">
        <v>89</v>
      </c>
      <c r="C3" s="121">
        <v>1.2004107900000001</v>
      </c>
      <c r="D3" s="121">
        <v>1.4385305799999999</v>
      </c>
      <c r="E3" s="81">
        <v>1</v>
      </c>
      <c r="F3" s="81">
        <v>1</v>
      </c>
      <c r="G3" s="121">
        <v>1.1203616300000001</v>
      </c>
      <c r="H3" s="121">
        <v>1.2739162500000001</v>
      </c>
      <c r="I3" s="121">
        <v>1.3541159700000001</v>
      </c>
      <c r="J3" s="121">
        <v>1.45955704</v>
      </c>
      <c r="K3" s="121">
        <v>1.3719999599999999</v>
      </c>
    </row>
    <row r="4" spans="1:11" ht="14.5" x14ac:dyDescent="0.35">
      <c r="A4" s="51">
        <v>16089001</v>
      </c>
      <c r="B4" s="73" t="s">
        <v>90</v>
      </c>
      <c r="C4" s="121">
        <v>1.0895117999999999</v>
      </c>
      <c r="D4" s="121">
        <v>1.1797244499999999</v>
      </c>
      <c r="E4" s="81">
        <v>1</v>
      </c>
      <c r="F4" s="81">
        <v>1</v>
      </c>
      <c r="G4" s="121">
        <v>1.05347674</v>
      </c>
      <c r="H4" s="121">
        <v>1.1183632800000001</v>
      </c>
      <c r="I4" s="121">
        <v>1.1503551999999999</v>
      </c>
      <c r="J4" s="121">
        <v>1.1916419499999999</v>
      </c>
      <c r="K4" s="121">
        <v>1.1675309199999999</v>
      </c>
    </row>
    <row r="5" spans="1:11" ht="14.5" x14ac:dyDescent="0.35">
      <c r="A5" s="51">
        <v>18033001</v>
      </c>
      <c r="B5" s="73" t="s">
        <v>92</v>
      </c>
      <c r="C5" s="121">
        <v>0.98846418999999996</v>
      </c>
      <c r="D5" s="121">
        <v>0.98092880999999998</v>
      </c>
      <c r="E5" s="81">
        <v>1</v>
      </c>
      <c r="F5" s="81">
        <v>1</v>
      </c>
      <c r="G5" s="121">
        <v>0.98985495999999995</v>
      </c>
      <c r="H5" s="121">
        <v>0.98183405000000001</v>
      </c>
      <c r="I5" s="121">
        <v>0.97918318999999998</v>
      </c>
      <c r="J5" s="121">
        <v>0.97645163000000001</v>
      </c>
      <c r="K5" s="121">
        <v>0.98057335999999995</v>
      </c>
    </row>
    <row r="6" spans="1:11" ht="14.5" x14ac:dyDescent="0.35">
      <c r="A6" s="51">
        <v>21473001</v>
      </c>
      <c r="B6" s="73" t="s">
        <v>93</v>
      </c>
      <c r="C6" s="121">
        <v>0.94062953999999999</v>
      </c>
      <c r="D6" s="121">
        <v>0.89763680999999995</v>
      </c>
      <c r="E6" s="81">
        <v>1</v>
      </c>
      <c r="F6" s="81">
        <v>1</v>
      </c>
      <c r="G6" s="121">
        <v>0.95769769000000005</v>
      </c>
      <c r="H6" s="121">
        <v>0.91982861000000005</v>
      </c>
      <c r="I6" s="121">
        <v>0.90460083000000002</v>
      </c>
      <c r="J6" s="121">
        <v>0.88792223999999997</v>
      </c>
      <c r="K6" s="121">
        <v>0.89972622000000002</v>
      </c>
    </row>
    <row r="7" spans="1:11" ht="14.5" x14ac:dyDescent="0.35">
      <c r="A7" s="51">
        <v>25056001</v>
      </c>
      <c r="B7" s="73" t="s">
        <v>95</v>
      </c>
      <c r="C7" s="121">
        <v>0.93869128000000002</v>
      </c>
      <c r="D7" s="121">
        <v>0.89374136999999998</v>
      </c>
      <c r="E7" s="81">
        <v>1</v>
      </c>
      <c r="F7" s="81">
        <v>1</v>
      </c>
      <c r="G7" s="121">
        <v>0.95556627999999999</v>
      </c>
      <c r="H7" s="121">
        <v>0.91647062000000001</v>
      </c>
      <c r="I7" s="121">
        <v>0.90077750000000001</v>
      </c>
      <c r="J7" s="121">
        <v>0.88350185999999997</v>
      </c>
      <c r="K7" s="121">
        <v>0.89734153999999999</v>
      </c>
    </row>
    <row r="8" spans="1:11" ht="14.5" x14ac:dyDescent="0.35">
      <c r="A8" s="51">
        <v>26198001</v>
      </c>
      <c r="B8" s="73" t="s">
        <v>96</v>
      </c>
      <c r="C8" s="121">
        <v>1.06168817</v>
      </c>
      <c r="D8" s="121">
        <v>1.1211356100000001</v>
      </c>
      <c r="E8" s="81">
        <v>1</v>
      </c>
      <c r="F8" s="81">
        <v>1</v>
      </c>
      <c r="G8" s="121">
        <v>1.0370944799999999</v>
      </c>
      <c r="H8" s="121">
        <v>1.07797805</v>
      </c>
      <c r="I8" s="121">
        <v>1.09680117</v>
      </c>
      <c r="J8" s="121">
        <v>1.1207779499999999</v>
      </c>
      <c r="K8" s="121">
        <v>1.10163477</v>
      </c>
    </row>
    <row r="9" spans="1:11" ht="14.5" x14ac:dyDescent="0.35">
      <c r="A9" s="51">
        <v>29075001</v>
      </c>
      <c r="B9" s="73" t="s">
        <v>98</v>
      </c>
      <c r="C9" s="121">
        <v>1.0480319600000001</v>
      </c>
      <c r="D9" s="121">
        <v>1.08463219</v>
      </c>
      <c r="E9" s="81">
        <v>1</v>
      </c>
      <c r="F9" s="81">
        <v>1</v>
      </c>
      <c r="G9" s="121">
        <v>1.0217437</v>
      </c>
      <c r="H9" s="121">
        <v>1.0559363100000001</v>
      </c>
      <c r="I9" s="121">
        <v>1.0728447699999999</v>
      </c>
      <c r="J9" s="121">
        <v>1.0940702499999999</v>
      </c>
      <c r="K9" s="121">
        <v>1.09685437</v>
      </c>
    </row>
    <row r="10" spans="1:11" ht="14.5" x14ac:dyDescent="0.35">
      <c r="A10" s="51">
        <v>30189001</v>
      </c>
      <c r="B10" s="73" t="s">
        <v>99</v>
      </c>
      <c r="C10" s="121">
        <v>1.1483562300000001</v>
      </c>
      <c r="D10" s="121">
        <v>1.30981561</v>
      </c>
      <c r="E10" s="81">
        <v>1</v>
      </c>
      <c r="F10" s="81">
        <v>1</v>
      </c>
      <c r="G10" s="121">
        <v>1.0916590900000001</v>
      </c>
      <c r="H10" s="121">
        <v>1.20310468</v>
      </c>
      <c r="I10" s="121">
        <v>1.2580082500000001</v>
      </c>
      <c r="J10" s="121">
        <v>1.3320406899999999</v>
      </c>
      <c r="K10" s="121">
        <v>1.27519782</v>
      </c>
    </row>
    <row r="11" spans="1:11" ht="14.5" x14ac:dyDescent="0.35">
      <c r="A11" s="51">
        <v>31069001</v>
      </c>
      <c r="B11" s="73" t="s">
        <v>100</v>
      </c>
      <c r="C11" s="121">
        <v>1.1065752499999999</v>
      </c>
      <c r="D11" s="121">
        <v>1.21509592</v>
      </c>
      <c r="E11" s="81">
        <v>1</v>
      </c>
      <c r="F11" s="81">
        <v>1</v>
      </c>
      <c r="G11" s="121">
        <v>1.06667325</v>
      </c>
      <c r="H11" s="121">
        <v>1.1457574800000001</v>
      </c>
      <c r="I11" s="121">
        <v>1.1843597400000001</v>
      </c>
      <c r="J11" s="121">
        <v>1.23456506</v>
      </c>
      <c r="K11" s="121">
        <v>1.2011073999999999</v>
      </c>
    </row>
    <row r="12" spans="1:11" ht="14.5" x14ac:dyDescent="0.35">
      <c r="A12" s="51">
        <v>33281001</v>
      </c>
      <c r="B12" s="73" t="s">
        <v>101</v>
      </c>
      <c r="C12" s="121">
        <v>1.11869134</v>
      </c>
      <c r="D12" s="121">
        <v>1.24114028</v>
      </c>
      <c r="E12" s="81">
        <v>1</v>
      </c>
      <c r="F12" s="81">
        <v>1</v>
      </c>
      <c r="G12" s="121">
        <v>1.071323</v>
      </c>
      <c r="H12" s="121">
        <v>1.1602180200000001</v>
      </c>
      <c r="I12" s="121">
        <v>1.2044331699999999</v>
      </c>
      <c r="J12" s="121">
        <v>1.26289231</v>
      </c>
      <c r="K12" s="121">
        <v>1.22812656</v>
      </c>
    </row>
    <row r="13" spans="1:11" ht="14.5" x14ac:dyDescent="0.35">
      <c r="A13" s="51">
        <v>35228001</v>
      </c>
      <c r="B13" s="73" t="s">
        <v>102</v>
      </c>
      <c r="C13" s="121">
        <v>1.0241658600000001</v>
      </c>
      <c r="D13" s="121">
        <v>1.0404932499999999</v>
      </c>
      <c r="E13" s="81">
        <v>1</v>
      </c>
      <c r="F13" s="81">
        <v>1</v>
      </c>
      <c r="G13" s="121">
        <v>1.0088528999999999</v>
      </c>
      <c r="H13" s="121">
        <v>1.02624479</v>
      </c>
      <c r="I13" s="121">
        <v>1.0346511899999999</v>
      </c>
      <c r="J13" s="121">
        <v>1.0459936000000001</v>
      </c>
      <c r="K13" s="121">
        <v>1.05037626</v>
      </c>
    </row>
    <row r="14" spans="1:11" ht="14.5" x14ac:dyDescent="0.35">
      <c r="A14" s="51">
        <v>37179001</v>
      </c>
      <c r="B14" s="73" t="s">
        <v>103</v>
      </c>
      <c r="C14" s="121">
        <v>0.99527328000000004</v>
      </c>
      <c r="D14" s="121">
        <v>0.99279795000000004</v>
      </c>
      <c r="E14" s="81">
        <v>1</v>
      </c>
      <c r="F14" s="81">
        <v>1</v>
      </c>
      <c r="G14" s="121">
        <v>0.99497873000000003</v>
      </c>
      <c r="H14" s="121">
        <v>0.99256266000000004</v>
      </c>
      <c r="I14" s="121">
        <v>0.99196740999999999</v>
      </c>
      <c r="J14" s="121">
        <v>0.99185473999999996</v>
      </c>
      <c r="K14" s="121">
        <v>0.99505281000000001</v>
      </c>
    </row>
    <row r="15" spans="1:11" ht="14.5" x14ac:dyDescent="0.35">
      <c r="A15" s="51">
        <v>38384001</v>
      </c>
      <c r="B15" s="73" t="s">
        <v>104</v>
      </c>
      <c r="C15" s="121">
        <v>0.94119343</v>
      </c>
      <c r="D15" s="121">
        <v>0.89695468</v>
      </c>
      <c r="E15" s="81">
        <v>1</v>
      </c>
      <c r="F15" s="81">
        <v>1</v>
      </c>
      <c r="G15" s="121">
        <v>0.95615256999999998</v>
      </c>
      <c r="H15" s="121">
        <v>0.91716142000000001</v>
      </c>
      <c r="I15" s="121">
        <v>0.90192402999999999</v>
      </c>
      <c r="J15" s="121">
        <v>0.88474991000000003</v>
      </c>
      <c r="K15" s="121">
        <v>0.89904437999999998</v>
      </c>
    </row>
    <row r="16" spans="1:11" ht="14.5" x14ac:dyDescent="0.35">
      <c r="A16" s="51">
        <v>42005001</v>
      </c>
      <c r="B16" s="73" t="s">
        <v>105</v>
      </c>
      <c r="C16" s="121">
        <v>0.95386000000000004</v>
      </c>
      <c r="D16" s="121">
        <v>0.91475481000000003</v>
      </c>
      <c r="E16" s="81">
        <v>1</v>
      </c>
      <c r="F16" s="81">
        <v>1</v>
      </c>
      <c r="G16" s="121">
        <v>0.96193304000000002</v>
      </c>
      <c r="H16" s="121">
        <v>0.92928473</v>
      </c>
      <c r="I16" s="121">
        <v>0.91671517000000002</v>
      </c>
      <c r="J16" s="121">
        <v>0.90242359000000005</v>
      </c>
      <c r="K16" s="121">
        <v>0.91834576000000001</v>
      </c>
    </row>
    <row r="17" spans="1:11" ht="14.5" x14ac:dyDescent="0.35">
      <c r="A17" s="51">
        <v>44020001</v>
      </c>
      <c r="B17" s="73" t="s">
        <v>106</v>
      </c>
      <c r="C17" s="121">
        <v>1.01782229</v>
      </c>
      <c r="D17" s="121">
        <v>1.0353396399999999</v>
      </c>
      <c r="E17" s="81">
        <v>1</v>
      </c>
      <c r="F17" s="81">
        <v>1</v>
      </c>
      <c r="G17" s="121">
        <v>1.01164232</v>
      </c>
      <c r="H17" s="121">
        <v>1.02519746</v>
      </c>
      <c r="I17" s="121">
        <v>1.03152171</v>
      </c>
      <c r="J17" s="121">
        <v>1.0395956900000001</v>
      </c>
      <c r="K17" s="121">
        <v>1.03641351</v>
      </c>
    </row>
    <row r="18" spans="1:11" ht="14.5" x14ac:dyDescent="0.35">
      <c r="A18" s="51">
        <v>47091001</v>
      </c>
      <c r="B18" s="73" t="s">
        <v>107</v>
      </c>
      <c r="C18" s="121">
        <v>1.0695728600000001</v>
      </c>
      <c r="D18" s="121">
        <v>1.13488071</v>
      </c>
      <c r="E18" s="81">
        <v>1</v>
      </c>
      <c r="F18" s="81">
        <v>1</v>
      </c>
      <c r="G18" s="121">
        <v>1.0417247199999999</v>
      </c>
      <c r="H18" s="121">
        <v>1.0905912</v>
      </c>
      <c r="I18" s="121">
        <v>1.1137162</v>
      </c>
      <c r="J18" s="121">
        <v>1.14351337</v>
      </c>
      <c r="K18" s="121">
        <v>1.1247644000000001</v>
      </c>
    </row>
    <row r="19" spans="1:11" ht="14.5" x14ac:dyDescent="0.35">
      <c r="A19" s="51">
        <v>51449002</v>
      </c>
      <c r="B19" s="73" t="s">
        <v>108</v>
      </c>
      <c r="C19" s="121">
        <v>0.93509129000000002</v>
      </c>
      <c r="D19" s="121">
        <v>0.88661866</v>
      </c>
      <c r="E19" s="81">
        <v>1</v>
      </c>
      <c r="F19" s="81">
        <v>1</v>
      </c>
      <c r="G19" s="121">
        <v>0.95498229999999995</v>
      </c>
      <c r="H19" s="121">
        <v>0.91515446</v>
      </c>
      <c r="I19" s="121">
        <v>0.89932595000000004</v>
      </c>
      <c r="J19" s="121">
        <v>0.88155125000000001</v>
      </c>
      <c r="K19" s="121">
        <v>0.89716576000000003</v>
      </c>
    </row>
    <row r="20" spans="1:11" ht="14.5" x14ac:dyDescent="0.35">
      <c r="A20" s="51">
        <v>57039001</v>
      </c>
      <c r="B20" s="73" t="s">
        <v>109</v>
      </c>
      <c r="C20" s="121">
        <v>0.92118915000000001</v>
      </c>
      <c r="D20" s="121">
        <v>0.86603275000000002</v>
      </c>
      <c r="E20" s="81">
        <v>1</v>
      </c>
      <c r="F20" s="81">
        <v>1</v>
      </c>
      <c r="G20" s="121">
        <v>0.94464146000000004</v>
      </c>
      <c r="H20" s="121">
        <v>0.89721980999999995</v>
      </c>
      <c r="I20" s="121">
        <v>0.87879035000000005</v>
      </c>
      <c r="J20" s="121">
        <v>0.85837743</v>
      </c>
      <c r="K20" s="121">
        <v>0.87527365999999995</v>
      </c>
    </row>
    <row r="21" spans="1:11" ht="14.5" x14ac:dyDescent="0.35">
      <c r="A21" s="51">
        <v>59343001</v>
      </c>
      <c r="B21" s="73" t="s">
        <v>110</v>
      </c>
      <c r="C21" s="121">
        <v>0.95409089999999996</v>
      </c>
      <c r="D21" s="121">
        <v>0.92131470999999998</v>
      </c>
      <c r="E21" s="81">
        <v>1</v>
      </c>
      <c r="F21" s="81">
        <v>1</v>
      </c>
      <c r="G21" s="121">
        <v>0.97223287999999997</v>
      </c>
      <c r="H21" s="121">
        <v>0.94609891999999995</v>
      </c>
      <c r="I21" s="121">
        <v>0.93530175000000004</v>
      </c>
      <c r="J21" s="121">
        <v>0.92324340999999999</v>
      </c>
      <c r="K21" s="121">
        <v>0.93270934999999999</v>
      </c>
    </row>
    <row r="22" spans="1:11" ht="14.5" x14ac:dyDescent="0.35">
      <c r="A22" s="51">
        <v>63113001</v>
      </c>
      <c r="B22" s="73" t="s">
        <v>111</v>
      </c>
      <c r="C22" s="121">
        <v>0.99211400000000005</v>
      </c>
      <c r="D22" s="121">
        <v>0.98311908000000003</v>
      </c>
      <c r="E22" s="81">
        <v>1</v>
      </c>
      <c r="F22" s="81">
        <v>1</v>
      </c>
      <c r="G22" s="121">
        <v>0.98699749000000003</v>
      </c>
      <c r="H22" s="121">
        <v>0.97814637000000004</v>
      </c>
      <c r="I22" s="121">
        <v>0.97563500000000003</v>
      </c>
      <c r="J22" s="121">
        <v>0.97275502000000003</v>
      </c>
      <c r="K22" s="121">
        <v>0.98090224999999998</v>
      </c>
    </row>
    <row r="23" spans="1:11" ht="14.5" x14ac:dyDescent="0.35">
      <c r="A23" s="51">
        <v>64024001</v>
      </c>
      <c r="B23" s="73" t="s">
        <v>112</v>
      </c>
      <c r="C23" s="121">
        <v>1.2196733900000001</v>
      </c>
      <c r="D23" s="121">
        <v>1.4804877700000001</v>
      </c>
      <c r="E23" s="81">
        <v>1</v>
      </c>
      <c r="F23" s="81">
        <v>1</v>
      </c>
      <c r="G23" s="121">
        <v>1.1242754399999999</v>
      </c>
      <c r="H23" s="121">
        <v>1.30069269</v>
      </c>
      <c r="I23" s="121">
        <v>1.3969642200000001</v>
      </c>
      <c r="J23" s="121">
        <v>1.5331647500000001</v>
      </c>
      <c r="K23" s="121">
        <v>1.4587542099999999</v>
      </c>
    </row>
    <row r="24" spans="1:11" ht="14.5" x14ac:dyDescent="0.35">
      <c r="A24" s="51">
        <v>64549001</v>
      </c>
      <c r="B24" s="73" t="s">
        <v>113</v>
      </c>
      <c r="C24" s="121">
        <v>1.1139731500000001</v>
      </c>
      <c r="D24" s="121">
        <v>1.2287827099999999</v>
      </c>
      <c r="E24" s="81">
        <v>1</v>
      </c>
      <c r="F24" s="81">
        <v>1</v>
      </c>
      <c r="G24" s="121">
        <v>1.06861326</v>
      </c>
      <c r="H24" s="121">
        <v>1.15455774</v>
      </c>
      <c r="I24" s="121">
        <v>1.19731455</v>
      </c>
      <c r="J24" s="121">
        <v>1.25320761</v>
      </c>
      <c r="K24" s="121">
        <v>1.2243186399999999</v>
      </c>
    </row>
    <row r="25" spans="1:11" ht="14.5" x14ac:dyDescent="0.35">
      <c r="A25" s="51">
        <v>66136001</v>
      </c>
      <c r="B25" s="73" t="s">
        <v>114</v>
      </c>
      <c r="C25" s="121">
        <v>1.2321961100000001</v>
      </c>
      <c r="D25" s="121">
        <v>1.52220402</v>
      </c>
      <c r="E25" s="81">
        <v>1</v>
      </c>
      <c r="F25" s="81">
        <v>1</v>
      </c>
      <c r="G25" s="121">
        <v>1.1363551599999999</v>
      </c>
      <c r="H25" s="121">
        <v>1.3242538699999999</v>
      </c>
      <c r="I25" s="121">
        <v>1.4269020100000001</v>
      </c>
      <c r="J25" s="121">
        <v>1.57273153</v>
      </c>
      <c r="K25" s="121">
        <v>1.4724427099999999</v>
      </c>
    </row>
    <row r="26" spans="1:11" ht="14.5" x14ac:dyDescent="0.35">
      <c r="A26" s="51">
        <v>67124001</v>
      </c>
      <c r="B26" s="73" t="s">
        <v>115</v>
      </c>
      <c r="C26" s="121">
        <v>0.93030939999999995</v>
      </c>
      <c r="D26" s="121">
        <v>0.88262297000000001</v>
      </c>
      <c r="E26" s="81">
        <v>1</v>
      </c>
      <c r="F26" s="81">
        <v>1</v>
      </c>
      <c r="G26" s="121">
        <v>0.95314926</v>
      </c>
      <c r="H26" s="121">
        <v>0.91073537000000004</v>
      </c>
      <c r="I26" s="121">
        <v>0.89390765000000005</v>
      </c>
      <c r="J26" s="121">
        <v>0.87520213999999996</v>
      </c>
      <c r="K26" s="121">
        <v>0.88672700000000004</v>
      </c>
    </row>
    <row r="27" spans="1:11" ht="14.5" x14ac:dyDescent="0.35">
      <c r="A27" s="51">
        <v>68205001</v>
      </c>
      <c r="B27" s="76" t="s">
        <v>116</v>
      </c>
      <c r="C27" s="121">
        <v>0.92526834000000002</v>
      </c>
      <c r="D27" s="121">
        <v>0.87289172000000004</v>
      </c>
      <c r="E27" s="81">
        <v>1</v>
      </c>
      <c r="F27" s="81">
        <v>1</v>
      </c>
      <c r="G27" s="121">
        <v>0.94845263000000002</v>
      </c>
      <c r="H27" s="121">
        <v>0.90184889999999995</v>
      </c>
      <c r="I27" s="121">
        <v>0.88323565000000004</v>
      </c>
      <c r="J27" s="121">
        <v>0.86261146</v>
      </c>
      <c r="K27" s="121">
        <v>0.87604641000000005</v>
      </c>
    </row>
    <row r="28" spans="1:11" ht="14.5" x14ac:dyDescent="0.35">
      <c r="A28" s="51">
        <v>68297001</v>
      </c>
      <c r="B28" s="73" t="s">
        <v>117</v>
      </c>
      <c r="C28" s="121">
        <v>0.91912497999999998</v>
      </c>
      <c r="D28" s="121">
        <v>0.86057983000000005</v>
      </c>
      <c r="E28" s="81">
        <v>1</v>
      </c>
      <c r="F28" s="81">
        <v>1</v>
      </c>
      <c r="G28" s="121">
        <v>0.94190728000000001</v>
      </c>
      <c r="H28" s="121">
        <v>0.89150269000000004</v>
      </c>
      <c r="I28" s="121">
        <v>0.87129842000000002</v>
      </c>
      <c r="J28" s="121">
        <v>0.84931895000000002</v>
      </c>
      <c r="K28" s="121">
        <v>0.86586607999999998</v>
      </c>
    </row>
    <row r="29" spans="1:11" ht="14.5" x14ac:dyDescent="0.35">
      <c r="A29" s="51">
        <v>69029001</v>
      </c>
      <c r="B29" s="73" t="s">
        <v>118</v>
      </c>
      <c r="C29" s="121">
        <v>0.99717338</v>
      </c>
      <c r="D29" s="121">
        <v>0.99473979999999995</v>
      </c>
      <c r="E29" s="81">
        <v>1</v>
      </c>
      <c r="F29" s="81">
        <v>1</v>
      </c>
      <c r="G29" s="121">
        <v>0.99228245999999998</v>
      </c>
      <c r="H29" s="121">
        <v>0.98634029000000001</v>
      </c>
      <c r="I29" s="121">
        <v>0.98418958000000001</v>
      </c>
      <c r="J29" s="121">
        <v>0.98228039</v>
      </c>
      <c r="K29" s="121">
        <v>0.98360669999999994</v>
      </c>
    </row>
    <row r="30" spans="1:11" ht="14.5" x14ac:dyDescent="0.35">
      <c r="A30" s="51">
        <v>70473001</v>
      </c>
      <c r="B30" s="73" t="s">
        <v>119</v>
      </c>
      <c r="C30" s="121">
        <v>0.91293533000000004</v>
      </c>
      <c r="D30" s="121">
        <v>0.85169627000000003</v>
      </c>
      <c r="E30" s="81">
        <v>1</v>
      </c>
      <c r="F30" s="81">
        <v>1</v>
      </c>
      <c r="G30" s="121">
        <v>0.93711100000000003</v>
      </c>
      <c r="H30" s="121">
        <v>0.88343386999999995</v>
      </c>
      <c r="I30" s="121">
        <v>0.86241469000000004</v>
      </c>
      <c r="J30" s="121">
        <v>0.83925483000000001</v>
      </c>
      <c r="K30" s="121">
        <v>0.85701976999999996</v>
      </c>
    </row>
    <row r="31" spans="1:11" ht="14.5" x14ac:dyDescent="0.35">
      <c r="A31" s="51">
        <v>73329001</v>
      </c>
      <c r="B31" s="73" t="s">
        <v>120</v>
      </c>
      <c r="C31" s="121">
        <v>0.96786678999999998</v>
      </c>
      <c r="D31" s="121">
        <v>0.94372674999999995</v>
      </c>
      <c r="E31" s="81">
        <v>1</v>
      </c>
      <c r="F31" s="81">
        <v>1</v>
      </c>
      <c r="G31" s="121">
        <v>0.97634578000000005</v>
      </c>
      <c r="H31" s="121">
        <v>0.95419522999999995</v>
      </c>
      <c r="I31" s="121">
        <v>0.94525612000000003</v>
      </c>
      <c r="J31" s="121">
        <v>0.93529998999999997</v>
      </c>
      <c r="K31" s="121">
        <v>0.94189862000000002</v>
      </c>
    </row>
    <row r="32" spans="1:11" ht="14.5" x14ac:dyDescent="0.35">
      <c r="A32" s="51">
        <v>75114001</v>
      </c>
      <c r="B32" s="73" t="s">
        <v>122</v>
      </c>
      <c r="C32" s="121">
        <v>1.0134801200000001</v>
      </c>
      <c r="D32" s="121">
        <v>1.03011129</v>
      </c>
      <c r="E32" s="81">
        <v>1</v>
      </c>
      <c r="F32" s="81">
        <v>1</v>
      </c>
      <c r="G32" s="121">
        <v>1.0093886000000001</v>
      </c>
      <c r="H32" s="121">
        <v>1.02166869</v>
      </c>
      <c r="I32" s="121">
        <v>1.0274529100000001</v>
      </c>
      <c r="J32" s="121">
        <v>1.0353935599999999</v>
      </c>
      <c r="K32" s="121">
        <v>1.02915526</v>
      </c>
    </row>
    <row r="33" spans="1:11" ht="14.5" x14ac:dyDescent="0.35">
      <c r="A33" s="51">
        <v>76116001</v>
      </c>
      <c r="B33" s="73" t="s">
        <v>123</v>
      </c>
      <c r="C33" s="121">
        <v>0.93742135999999998</v>
      </c>
      <c r="D33" s="121">
        <v>0.89154126</v>
      </c>
      <c r="E33" s="81">
        <v>1</v>
      </c>
      <c r="F33" s="81">
        <v>1</v>
      </c>
      <c r="G33" s="121">
        <v>0.95642026999999996</v>
      </c>
      <c r="H33" s="121">
        <v>0.91997446999999999</v>
      </c>
      <c r="I33" s="121">
        <v>0.90549577000000003</v>
      </c>
      <c r="J33" s="121">
        <v>0.88973049000000004</v>
      </c>
      <c r="K33" s="121">
        <v>0.90673667999999996</v>
      </c>
    </row>
    <row r="34" spans="1:11" ht="14.5" x14ac:dyDescent="0.35">
      <c r="A34" s="51">
        <v>89295001</v>
      </c>
      <c r="B34" s="73" t="s">
        <v>124</v>
      </c>
      <c r="C34" s="121">
        <v>0.96390914000000005</v>
      </c>
      <c r="D34" s="121">
        <v>0.93484144000000002</v>
      </c>
      <c r="E34" s="81">
        <v>1</v>
      </c>
      <c r="F34" s="81">
        <v>1</v>
      </c>
      <c r="G34" s="121">
        <v>0.96971717000000002</v>
      </c>
      <c r="H34" s="121">
        <v>0.94461561000000005</v>
      </c>
      <c r="I34" s="121">
        <v>0.93489069999999996</v>
      </c>
      <c r="J34" s="121">
        <v>0.92386060000000003</v>
      </c>
      <c r="K34" s="121">
        <v>0.93491402999999995</v>
      </c>
    </row>
    <row r="36" spans="1:11" ht="16" x14ac:dyDescent="0.3">
      <c r="A36" s="120" t="s">
        <v>185</v>
      </c>
    </row>
    <row r="42" spans="1:11" x14ac:dyDescent="0.25">
      <c r="C42" s="116"/>
      <c r="D42" s="116"/>
      <c r="E42" s="116"/>
      <c r="F42" s="116"/>
      <c r="G42" s="116"/>
      <c r="H42" s="116"/>
      <c r="I42" s="116"/>
      <c r="J42" s="116"/>
      <c r="K42" s="116"/>
    </row>
    <row r="43" spans="1:11" x14ac:dyDescent="0.25">
      <c r="C43" s="116"/>
      <c r="D43" s="116"/>
      <c r="E43" s="116"/>
      <c r="F43" s="116"/>
      <c r="G43" s="116"/>
      <c r="H43" s="116"/>
      <c r="I43" s="116"/>
      <c r="J43" s="116"/>
      <c r="K43" s="116"/>
    </row>
    <row r="44" spans="1:11" x14ac:dyDescent="0.25">
      <c r="C44" s="116"/>
      <c r="D44" s="116"/>
      <c r="E44" s="116"/>
      <c r="F44" s="116"/>
      <c r="G44" s="116"/>
      <c r="H44" s="116"/>
      <c r="I44" s="116"/>
      <c r="J44" s="116"/>
      <c r="K44" s="116"/>
    </row>
    <row r="45" spans="1:11" x14ac:dyDescent="0.25">
      <c r="C45" s="116"/>
      <c r="D45" s="116"/>
      <c r="E45" s="116"/>
      <c r="F45" s="116"/>
      <c r="G45" s="116"/>
      <c r="H45" s="116"/>
      <c r="I45" s="116"/>
      <c r="J45" s="116"/>
      <c r="K45" s="116"/>
    </row>
    <row r="46" spans="1:11" x14ac:dyDescent="0.25">
      <c r="C46" s="116"/>
      <c r="D46" s="116"/>
      <c r="E46" s="116"/>
      <c r="F46" s="116"/>
      <c r="G46" s="116"/>
      <c r="H46" s="116"/>
      <c r="I46" s="116"/>
      <c r="J46" s="116"/>
      <c r="K46" s="116"/>
    </row>
    <row r="47" spans="1:11" x14ac:dyDescent="0.25">
      <c r="C47" s="116"/>
      <c r="D47" s="116"/>
      <c r="E47" s="116"/>
      <c r="F47" s="116"/>
      <c r="G47" s="116"/>
      <c r="H47" s="116"/>
      <c r="I47" s="116"/>
      <c r="J47" s="116"/>
      <c r="K47" s="116"/>
    </row>
    <row r="48" spans="1:11" x14ac:dyDescent="0.25">
      <c r="C48" s="116"/>
      <c r="D48" s="116"/>
      <c r="E48" s="116"/>
      <c r="F48" s="116"/>
      <c r="G48" s="116"/>
      <c r="H48" s="116"/>
      <c r="I48" s="116"/>
      <c r="J48" s="116"/>
      <c r="K48" s="116"/>
    </row>
    <row r="49" spans="3:11" x14ac:dyDescent="0.25">
      <c r="C49" s="116"/>
      <c r="D49" s="116"/>
      <c r="E49" s="116"/>
      <c r="F49" s="116"/>
      <c r="G49" s="116"/>
      <c r="H49" s="116"/>
      <c r="I49" s="116"/>
      <c r="J49" s="116"/>
      <c r="K49" s="116"/>
    </row>
    <row r="50" spans="3:11" x14ac:dyDescent="0.25">
      <c r="C50" s="116"/>
      <c r="D50" s="116"/>
      <c r="E50" s="116"/>
      <c r="F50" s="116"/>
      <c r="G50" s="116"/>
      <c r="H50" s="116"/>
      <c r="I50" s="116"/>
      <c r="J50" s="116"/>
      <c r="K50" s="116"/>
    </row>
    <row r="51" spans="3:11" x14ac:dyDescent="0.25">
      <c r="C51" s="116"/>
      <c r="D51" s="116"/>
      <c r="E51" s="116"/>
      <c r="F51" s="116"/>
      <c r="G51" s="116"/>
      <c r="H51" s="116"/>
      <c r="I51" s="116"/>
      <c r="J51" s="116"/>
      <c r="K51" s="116"/>
    </row>
    <row r="52" spans="3:11" x14ac:dyDescent="0.25">
      <c r="C52" s="116"/>
      <c r="D52" s="116"/>
      <c r="E52" s="116"/>
      <c r="F52" s="116"/>
      <c r="G52" s="116"/>
      <c r="H52" s="116"/>
      <c r="I52" s="116"/>
      <c r="J52" s="116"/>
      <c r="K52" s="116"/>
    </row>
    <row r="53" spans="3:11" x14ac:dyDescent="0.25">
      <c r="C53" s="116"/>
      <c r="D53" s="116"/>
      <c r="E53" s="116"/>
      <c r="F53" s="116"/>
      <c r="G53" s="116"/>
      <c r="H53" s="116"/>
      <c r="I53" s="116"/>
      <c r="J53" s="116"/>
      <c r="K53" s="116"/>
    </row>
    <row r="54" spans="3:11" x14ac:dyDescent="0.25">
      <c r="C54" s="116"/>
      <c r="D54" s="116"/>
      <c r="E54" s="116"/>
      <c r="F54" s="116"/>
      <c r="G54" s="116"/>
      <c r="H54" s="116"/>
      <c r="I54" s="116"/>
      <c r="J54" s="116"/>
      <c r="K54" s="116"/>
    </row>
    <row r="55" spans="3:11" x14ac:dyDescent="0.25">
      <c r="C55" s="116"/>
      <c r="D55" s="116"/>
      <c r="E55" s="116"/>
      <c r="F55" s="116"/>
      <c r="G55" s="116"/>
      <c r="H55" s="116"/>
      <c r="I55" s="116"/>
      <c r="J55" s="116"/>
      <c r="K55" s="116"/>
    </row>
    <row r="56" spans="3:11" x14ac:dyDescent="0.25">
      <c r="C56" s="116"/>
      <c r="D56" s="116"/>
      <c r="E56" s="116"/>
      <c r="F56" s="116"/>
      <c r="G56" s="116"/>
      <c r="H56" s="116"/>
      <c r="I56" s="116"/>
      <c r="J56" s="116"/>
      <c r="K56" s="116"/>
    </row>
    <row r="57" spans="3:11" x14ac:dyDescent="0.25">
      <c r="C57" s="116"/>
      <c r="D57" s="116"/>
      <c r="E57" s="116"/>
      <c r="F57" s="116"/>
      <c r="G57" s="116"/>
      <c r="H57" s="116"/>
      <c r="I57" s="116"/>
      <c r="J57" s="116"/>
      <c r="K57" s="116"/>
    </row>
    <row r="58" spans="3:11" x14ac:dyDescent="0.25">
      <c r="C58" s="116"/>
      <c r="D58" s="116"/>
      <c r="E58" s="116"/>
      <c r="F58" s="116"/>
      <c r="G58" s="116"/>
      <c r="H58" s="116"/>
      <c r="I58" s="116"/>
      <c r="J58" s="116"/>
      <c r="K58" s="116"/>
    </row>
    <row r="59" spans="3:11" x14ac:dyDescent="0.25">
      <c r="C59" s="116"/>
      <c r="D59" s="116"/>
      <c r="E59" s="116"/>
      <c r="F59" s="116"/>
      <c r="G59" s="116"/>
      <c r="H59" s="116"/>
      <c r="I59" s="116"/>
      <c r="J59" s="116"/>
      <c r="K59" s="116"/>
    </row>
    <row r="60" spans="3:11" x14ac:dyDescent="0.25">
      <c r="C60" s="116"/>
      <c r="D60" s="116"/>
      <c r="E60" s="116"/>
      <c r="F60" s="116"/>
      <c r="G60" s="116"/>
      <c r="H60" s="116"/>
      <c r="I60" s="116"/>
      <c r="J60" s="116"/>
      <c r="K60" s="116"/>
    </row>
    <row r="61" spans="3:11" x14ac:dyDescent="0.25">
      <c r="C61" s="116"/>
      <c r="D61" s="116"/>
      <c r="E61" s="116"/>
      <c r="F61" s="116"/>
      <c r="G61" s="116"/>
      <c r="H61" s="116"/>
      <c r="I61" s="116"/>
      <c r="J61" s="116"/>
      <c r="K61" s="116"/>
    </row>
    <row r="62" spans="3:11" x14ac:dyDescent="0.25">
      <c r="C62" s="116"/>
      <c r="D62" s="116"/>
      <c r="E62" s="116"/>
      <c r="F62" s="116"/>
      <c r="G62" s="116"/>
      <c r="H62" s="116"/>
      <c r="I62" s="116"/>
      <c r="J62" s="116"/>
      <c r="K62" s="116"/>
    </row>
    <row r="63" spans="3:11" x14ac:dyDescent="0.25">
      <c r="C63" s="116"/>
      <c r="D63" s="116"/>
      <c r="E63" s="116"/>
      <c r="F63" s="116"/>
      <c r="G63" s="116"/>
      <c r="H63" s="116"/>
      <c r="I63" s="116"/>
      <c r="J63" s="116"/>
      <c r="K63" s="116"/>
    </row>
    <row r="64" spans="3:11" x14ac:dyDescent="0.25">
      <c r="C64" s="116"/>
      <c r="D64" s="116"/>
      <c r="E64" s="116"/>
      <c r="F64" s="116"/>
      <c r="G64" s="116"/>
      <c r="H64" s="116"/>
      <c r="I64" s="116"/>
      <c r="J64" s="116"/>
      <c r="K64" s="116"/>
    </row>
    <row r="65" spans="3:11" x14ac:dyDescent="0.25">
      <c r="C65" s="116"/>
      <c r="D65" s="116"/>
      <c r="E65" s="116"/>
      <c r="F65" s="116"/>
      <c r="G65" s="116"/>
      <c r="H65" s="116"/>
      <c r="I65" s="116"/>
      <c r="J65" s="116"/>
      <c r="K65" s="116"/>
    </row>
    <row r="66" spans="3:11" x14ac:dyDescent="0.25">
      <c r="C66" s="116"/>
      <c r="D66" s="116"/>
      <c r="E66" s="116"/>
      <c r="F66" s="116"/>
      <c r="G66" s="116"/>
      <c r="H66" s="116"/>
      <c r="I66" s="116"/>
      <c r="J66" s="116"/>
      <c r="K66" s="116"/>
    </row>
    <row r="67" spans="3:11" x14ac:dyDescent="0.25">
      <c r="C67" s="116"/>
      <c r="D67" s="116"/>
      <c r="E67" s="116"/>
      <c r="F67" s="116"/>
      <c r="G67" s="116"/>
      <c r="H67" s="116"/>
      <c r="I67" s="116"/>
      <c r="J67" s="116"/>
      <c r="K67" s="116"/>
    </row>
    <row r="68" spans="3:11" x14ac:dyDescent="0.25">
      <c r="C68" s="116"/>
      <c r="D68" s="116"/>
      <c r="E68" s="116"/>
      <c r="F68" s="116"/>
      <c r="G68" s="116"/>
      <c r="H68" s="116"/>
      <c r="I68" s="116"/>
      <c r="J68" s="116"/>
      <c r="K68" s="116"/>
    </row>
    <row r="69" spans="3:11" x14ac:dyDescent="0.25">
      <c r="C69" s="116"/>
      <c r="D69" s="116"/>
      <c r="E69" s="116"/>
      <c r="F69" s="116"/>
      <c r="G69" s="116"/>
      <c r="H69" s="116"/>
      <c r="I69" s="116"/>
      <c r="J69" s="116"/>
      <c r="K69" s="116"/>
    </row>
    <row r="70" spans="3:11" x14ac:dyDescent="0.25">
      <c r="C70" s="116"/>
      <c r="D70" s="116"/>
      <c r="E70" s="116"/>
      <c r="F70" s="116"/>
      <c r="G70" s="116"/>
      <c r="H70" s="116"/>
      <c r="I70" s="116"/>
      <c r="J70" s="116"/>
      <c r="K70" s="116"/>
    </row>
    <row r="71" spans="3:11" x14ac:dyDescent="0.25">
      <c r="C71" s="116"/>
      <c r="D71" s="116"/>
      <c r="E71" s="116"/>
      <c r="F71" s="116"/>
      <c r="G71" s="116"/>
      <c r="H71" s="116"/>
      <c r="I71" s="116"/>
      <c r="J71" s="116"/>
      <c r="K71" s="116"/>
    </row>
    <row r="72" spans="3:11" x14ac:dyDescent="0.25">
      <c r="C72" s="116"/>
      <c r="D72" s="116"/>
      <c r="E72" s="116"/>
      <c r="F72" s="116"/>
      <c r="G72" s="116"/>
      <c r="H72" s="116"/>
      <c r="I72" s="116"/>
      <c r="J72" s="116"/>
      <c r="K72" s="116"/>
    </row>
    <row r="73" spans="3:11" x14ac:dyDescent="0.25">
      <c r="C73" s="116"/>
      <c r="D73" s="116"/>
      <c r="E73" s="116"/>
      <c r="F73" s="116"/>
      <c r="G73" s="116"/>
      <c r="H73" s="116"/>
      <c r="I73" s="116"/>
      <c r="J73" s="116"/>
      <c r="K73" s="116"/>
    </row>
    <row r="74" spans="3:11" x14ac:dyDescent="0.25">
      <c r="C74" s="116"/>
      <c r="D74" s="116"/>
      <c r="E74" s="116"/>
      <c r="F74" s="116"/>
      <c r="G74" s="116"/>
      <c r="H74" s="116"/>
      <c r="I74" s="116"/>
      <c r="J74" s="116"/>
      <c r="K74" s="116"/>
    </row>
    <row r="75" spans="3:11" x14ac:dyDescent="0.25">
      <c r="C75" s="116"/>
      <c r="D75" s="116"/>
      <c r="E75" s="116"/>
      <c r="F75" s="116"/>
      <c r="G75" s="116"/>
      <c r="H75" s="116"/>
      <c r="I75" s="116"/>
      <c r="J75" s="116"/>
      <c r="K75" s="116"/>
    </row>
    <row r="76" spans="3:11" x14ac:dyDescent="0.25">
      <c r="C76" s="116"/>
      <c r="D76" s="116"/>
      <c r="E76" s="116"/>
      <c r="F76" s="116"/>
      <c r="G76" s="116"/>
      <c r="H76" s="116"/>
      <c r="I76" s="116"/>
      <c r="J76" s="116"/>
      <c r="K76" s="116"/>
    </row>
    <row r="77" spans="3:11" x14ac:dyDescent="0.25">
      <c r="C77" s="116"/>
      <c r="D77" s="116"/>
      <c r="E77" s="116"/>
      <c r="F77" s="116"/>
      <c r="G77" s="116"/>
      <c r="H77" s="116"/>
      <c r="I77" s="116"/>
      <c r="J77" s="116"/>
      <c r="K77" s="116"/>
    </row>
    <row r="78" spans="3:11" x14ac:dyDescent="0.25">
      <c r="C78" s="116"/>
      <c r="D78" s="116"/>
      <c r="E78" s="116"/>
      <c r="F78" s="116"/>
      <c r="G78" s="116"/>
      <c r="H78" s="116"/>
      <c r="I78" s="116"/>
      <c r="J78" s="116"/>
      <c r="K78" s="116"/>
    </row>
    <row r="79" spans="3:11" x14ac:dyDescent="0.25">
      <c r="C79" s="116"/>
      <c r="D79" s="116"/>
      <c r="E79" s="116"/>
      <c r="F79" s="116"/>
      <c r="G79" s="116"/>
      <c r="H79" s="116"/>
      <c r="I79" s="116"/>
      <c r="J79" s="116"/>
      <c r="K79" s="116"/>
    </row>
    <row r="80" spans="3:11" x14ac:dyDescent="0.25">
      <c r="C80" s="116"/>
      <c r="D80" s="116"/>
      <c r="E80" s="116"/>
      <c r="F80" s="116"/>
      <c r="G80" s="116"/>
      <c r="H80" s="116"/>
      <c r="I80" s="116"/>
      <c r="J80" s="116"/>
      <c r="K80" s="116"/>
    </row>
    <row r="81" spans="3:11" x14ac:dyDescent="0.25">
      <c r="C81" s="116"/>
      <c r="D81" s="116"/>
      <c r="E81" s="116"/>
      <c r="F81" s="116"/>
      <c r="G81" s="116"/>
      <c r="H81" s="116"/>
      <c r="I81" s="116"/>
      <c r="J81" s="116"/>
      <c r="K81" s="116"/>
    </row>
    <row r="82" spans="3:11" x14ac:dyDescent="0.25">
      <c r="C82" s="116"/>
      <c r="D82" s="116"/>
      <c r="E82" s="116"/>
      <c r="F82" s="116"/>
      <c r="G82" s="116"/>
      <c r="H82" s="116"/>
      <c r="I82" s="116"/>
      <c r="J82" s="116"/>
      <c r="K82" s="116"/>
    </row>
    <row r="83" spans="3:11" x14ac:dyDescent="0.25">
      <c r="C83" s="116"/>
      <c r="D83" s="116"/>
      <c r="E83" s="116"/>
      <c r="F83" s="116"/>
      <c r="G83" s="116"/>
      <c r="H83" s="116"/>
      <c r="I83" s="116"/>
      <c r="J83" s="116"/>
      <c r="K83" s="116"/>
    </row>
    <row r="84" spans="3:11" x14ac:dyDescent="0.25">
      <c r="C84" s="116"/>
      <c r="D84" s="116"/>
      <c r="E84" s="116"/>
      <c r="F84" s="116"/>
      <c r="G84" s="116"/>
      <c r="H84" s="116"/>
      <c r="I84" s="116"/>
      <c r="J84" s="116"/>
      <c r="K84" s="116"/>
    </row>
    <row r="85" spans="3:11" x14ac:dyDescent="0.25">
      <c r="C85" s="116"/>
      <c r="D85" s="116"/>
      <c r="E85" s="116"/>
      <c r="F85" s="116"/>
      <c r="G85" s="116"/>
      <c r="H85" s="116"/>
      <c r="I85" s="116"/>
      <c r="J85" s="116"/>
      <c r="K85" s="116"/>
    </row>
    <row r="86" spans="3:11" x14ac:dyDescent="0.25">
      <c r="C86" s="116"/>
      <c r="D86" s="116"/>
      <c r="E86" s="116"/>
      <c r="F86" s="116"/>
      <c r="G86" s="116"/>
      <c r="H86" s="116"/>
      <c r="I86" s="116"/>
      <c r="J86" s="116"/>
      <c r="K86" s="116"/>
    </row>
    <row r="87" spans="3:11" x14ac:dyDescent="0.25">
      <c r="C87" s="116"/>
      <c r="D87" s="116"/>
      <c r="E87" s="116"/>
      <c r="F87" s="116"/>
      <c r="G87" s="116"/>
      <c r="H87" s="116"/>
      <c r="I87" s="116"/>
      <c r="J87" s="116"/>
      <c r="K87" s="116"/>
    </row>
    <row r="88" spans="3:11" x14ac:dyDescent="0.25">
      <c r="C88" s="116"/>
      <c r="D88" s="116"/>
      <c r="E88" s="116"/>
      <c r="F88" s="116"/>
      <c r="G88" s="116"/>
      <c r="H88" s="116"/>
      <c r="I88" s="116"/>
      <c r="J88" s="116"/>
      <c r="K88" s="116"/>
    </row>
    <row r="89" spans="3:11" x14ac:dyDescent="0.25">
      <c r="C89" s="116"/>
      <c r="D89" s="116"/>
      <c r="E89" s="116"/>
      <c r="F89" s="116"/>
      <c r="G89" s="116"/>
      <c r="H89" s="116"/>
      <c r="I89" s="116"/>
      <c r="J89" s="116"/>
      <c r="K89" s="116"/>
    </row>
    <row r="90" spans="3:11" x14ac:dyDescent="0.25">
      <c r="C90" s="116"/>
      <c r="D90" s="116"/>
      <c r="E90" s="116"/>
      <c r="F90" s="116"/>
      <c r="G90" s="116"/>
      <c r="H90" s="116"/>
      <c r="I90" s="116"/>
      <c r="J90" s="116"/>
      <c r="K90" s="116"/>
    </row>
  </sheetData>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J50"/>
  <sheetViews>
    <sheetView zoomScale="85" zoomScaleNormal="85" workbookViewId="0">
      <selection activeCell="C13" sqref="C13"/>
    </sheetView>
  </sheetViews>
  <sheetFormatPr baseColWidth="10" defaultColWidth="11.453125" defaultRowHeight="12.5" x14ac:dyDescent="0.25"/>
  <cols>
    <col min="1" max="1" width="88" style="6" customWidth="1"/>
  </cols>
  <sheetData>
    <row r="1" spans="1:10" ht="41" x14ac:dyDescent="0.25">
      <c r="A1" s="123" t="s">
        <v>187</v>
      </c>
      <c r="B1" s="28"/>
      <c r="C1" s="28"/>
      <c r="D1" s="28"/>
      <c r="E1" s="28"/>
      <c r="F1" s="28"/>
      <c r="G1" s="28"/>
      <c r="H1" s="28"/>
      <c r="I1" s="28"/>
      <c r="J1" s="28"/>
    </row>
    <row r="3" spans="1:10" ht="25" x14ac:dyDescent="0.25">
      <c r="A3" s="26" t="s">
        <v>132</v>
      </c>
    </row>
    <row r="5" spans="1:10" ht="14.5" x14ac:dyDescent="0.25">
      <c r="A5" s="6" t="s">
        <v>133</v>
      </c>
    </row>
    <row r="7" spans="1:10" x14ac:dyDescent="0.25">
      <c r="A7" s="44" t="s">
        <v>134</v>
      </c>
    </row>
    <row r="8" spans="1:10" x14ac:dyDescent="0.25">
      <c r="A8" s="5" t="s">
        <v>135</v>
      </c>
    </row>
    <row r="9" spans="1:10" x14ac:dyDescent="0.25">
      <c r="A9" s="5"/>
    </row>
    <row r="10" spans="1:10" x14ac:dyDescent="0.25">
      <c r="A10" s="44" t="s">
        <v>136</v>
      </c>
    </row>
    <row r="11" spans="1:10" x14ac:dyDescent="0.25">
      <c r="A11" s="5" t="s">
        <v>137</v>
      </c>
    </row>
    <row r="12" spans="1:10" x14ac:dyDescent="0.25">
      <c r="A12" s="5"/>
    </row>
    <row r="13" spans="1:10" x14ac:dyDescent="0.25">
      <c r="A13" s="44" t="s">
        <v>138</v>
      </c>
    </row>
    <row r="14" spans="1:10" x14ac:dyDescent="0.25">
      <c r="A14" s="5" t="s">
        <v>139</v>
      </c>
    </row>
    <row r="16" spans="1:10" x14ac:dyDescent="0.25">
      <c r="A16" s="6" t="s">
        <v>140</v>
      </c>
    </row>
    <row r="18" spans="1:1" x14ac:dyDescent="0.25">
      <c r="A18" s="6" t="s">
        <v>141</v>
      </c>
    </row>
    <row r="19" spans="1:1" x14ac:dyDescent="0.25">
      <c r="A19" s="6" t="s">
        <v>142</v>
      </c>
    </row>
    <row r="20" spans="1:1" x14ac:dyDescent="0.25">
      <c r="A20" s="6" t="s">
        <v>143</v>
      </c>
    </row>
    <row r="21" spans="1:1" x14ac:dyDescent="0.25">
      <c r="A21" s="6" t="s">
        <v>144</v>
      </c>
    </row>
    <row r="22" spans="1:1" x14ac:dyDescent="0.25">
      <c r="A22" s="6" t="s">
        <v>145</v>
      </c>
    </row>
    <row r="23" spans="1:1" x14ac:dyDescent="0.25">
      <c r="A23" s="6" t="s">
        <v>146</v>
      </c>
    </row>
    <row r="24" spans="1:1" x14ac:dyDescent="0.25">
      <c r="A24" s="6" t="s">
        <v>147</v>
      </c>
    </row>
    <row r="26" spans="1:1" ht="25" x14ac:dyDescent="0.25">
      <c r="A26" s="124" t="s">
        <v>188</v>
      </c>
    </row>
    <row r="27" spans="1:1" x14ac:dyDescent="0.25">
      <c r="A27" s="115"/>
    </row>
    <row r="28" spans="1:1" ht="13" x14ac:dyDescent="0.3">
      <c r="A28" s="122" t="s">
        <v>186</v>
      </c>
    </row>
    <row r="29" spans="1:1" x14ac:dyDescent="0.25">
      <c r="A29" s="6" t="s">
        <v>148</v>
      </c>
    </row>
    <row r="31" spans="1:1" x14ac:dyDescent="0.25">
      <c r="A31" s="6" t="s">
        <v>149</v>
      </c>
    </row>
    <row r="32" spans="1:1" ht="25" x14ac:dyDescent="0.25">
      <c r="A32" s="46" t="s">
        <v>150</v>
      </c>
    </row>
    <row r="33" spans="1:1" x14ac:dyDescent="0.25">
      <c r="A33" s="45" t="s">
        <v>151</v>
      </c>
    </row>
    <row r="34" spans="1:1" ht="25" x14ac:dyDescent="0.25">
      <c r="A34" s="46" t="s">
        <v>152</v>
      </c>
    </row>
    <row r="37" spans="1:1" x14ac:dyDescent="0.25">
      <c r="A37" s="56"/>
    </row>
    <row r="42" spans="1:1" ht="26.25" customHeight="1" x14ac:dyDescent="0.25">
      <c r="A42" s="26"/>
    </row>
    <row r="43" spans="1:1" x14ac:dyDescent="0.25">
      <c r="A43" s="26"/>
    </row>
    <row r="44" spans="1:1" ht="13" x14ac:dyDescent="0.3">
      <c r="A44" s="14"/>
    </row>
    <row r="46" spans="1:1" ht="13" x14ac:dyDescent="0.3">
      <c r="A46" s="14"/>
    </row>
    <row r="49" spans="1:1" x14ac:dyDescent="0.25">
      <c r="A49" s="26"/>
    </row>
    <row r="50" spans="1:1" x14ac:dyDescent="0.25">
      <c r="A50" s="26"/>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9"/>
  <sheetViews>
    <sheetView showGridLines="0" zoomScaleNormal="100" workbookViewId="0">
      <selection activeCell="B37" sqref="B37"/>
    </sheetView>
  </sheetViews>
  <sheetFormatPr baseColWidth="10" defaultColWidth="11.453125" defaultRowHeight="12.5" x14ac:dyDescent="0.25"/>
  <cols>
    <col min="1" max="1" width="20.54296875" customWidth="1"/>
    <col min="2" max="2" width="70.54296875" style="6" customWidth="1"/>
  </cols>
  <sheetData>
    <row r="1" spans="1:3" ht="41.25" customHeight="1" x14ac:dyDescent="0.25">
      <c r="A1" s="128" t="s">
        <v>153</v>
      </c>
      <c r="B1" s="129"/>
      <c r="C1" s="54" t="s">
        <v>154</v>
      </c>
    </row>
    <row r="3" spans="1:3" s="71" customFormat="1" ht="45" customHeight="1" x14ac:dyDescent="0.25">
      <c r="A3" s="130" t="s">
        <v>155</v>
      </c>
      <c r="B3" s="130"/>
    </row>
    <row r="4" spans="1:3" ht="13" x14ac:dyDescent="0.3">
      <c r="B4" s="57"/>
    </row>
    <row r="5" spans="1:3" x14ac:dyDescent="0.25">
      <c r="A5" s="59"/>
      <c r="B5" s="70"/>
    </row>
    <row r="6" spans="1:3" ht="12.65" customHeight="1" x14ac:dyDescent="0.25">
      <c r="A6" s="135" t="s">
        <v>156</v>
      </c>
      <c r="B6" s="136"/>
    </row>
    <row r="7" spans="1:3" x14ac:dyDescent="0.25">
      <c r="A7" s="60"/>
      <c r="B7" s="61"/>
    </row>
    <row r="8" spans="1:3" ht="13" x14ac:dyDescent="0.25">
      <c r="A8" s="133" t="s">
        <v>157</v>
      </c>
      <c r="B8" s="134"/>
    </row>
    <row r="9" spans="1:3" x14ac:dyDescent="0.25">
      <c r="A9" s="60"/>
      <c r="B9" s="61"/>
    </row>
    <row r="10" spans="1:3" x14ac:dyDescent="0.25">
      <c r="A10" s="131" t="s">
        <v>158</v>
      </c>
      <c r="B10" s="132"/>
    </row>
    <row r="11" spans="1:3" x14ac:dyDescent="0.25">
      <c r="A11" s="60"/>
      <c r="B11" s="61"/>
    </row>
    <row r="12" spans="1:3" x14ac:dyDescent="0.25">
      <c r="A12" s="133" t="s">
        <v>159</v>
      </c>
      <c r="B12" s="134"/>
    </row>
    <row r="13" spans="1:3" x14ac:dyDescent="0.25">
      <c r="A13" s="60"/>
      <c r="B13" s="61"/>
    </row>
    <row r="14" spans="1:3" ht="12.65" customHeight="1" x14ac:dyDescent="0.25">
      <c r="A14" s="135" t="s">
        <v>181</v>
      </c>
      <c r="B14" s="136"/>
    </row>
    <row r="15" spans="1:3" ht="13" customHeight="1" x14ac:dyDescent="0.25">
      <c r="A15" s="62" t="s">
        <v>160</v>
      </c>
      <c r="B15" s="63">
        <v>1.84E-2</v>
      </c>
    </row>
    <row r="16" spans="1:3" ht="13" customHeight="1" x14ac:dyDescent="0.25">
      <c r="A16" s="62" t="s">
        <v>161</v>
      </c>
      <c r="B16" s="63">
        <v>-2.5700000000000001E-2</v>
      </c>
    </row>
    <row r="17" spans="1:2" ht="13" customHeight="1" x14ac:dyDescent="0.25">
      <c r="A17" s="62" t="s">
        <v>162</v>
      </c>
      <c r="B17" s="63">
        <v>-2.4299999999999999E-2</v>
      </c>
    </row>
    <row r="18" spans="1:2" ht="13" customHeight="1" x14ac:dyDescent="0.25">
      <c r="A18" s="64"/>
      <c r="B18" s="65"/>
    </row>
    <row r="19" spans="1:2" ht="13" x14ac:dyDescent="0.25">
      <c r="B19" s="58"/>
    </row>
    <row r="21" spans="1:2" x14ac:dyDescent="0.25">
      <c r="A21" s="59"/>
      <c r="B21" s="70"/>
    </row>
    <row r="22" spans="1:2" ht="12.65" customHeight="1" x14ac:dyDescent="0.25">
      <c r="A22" s="135" t="s">
        <v>163</v>
      </c>
      <c r="B22" s="136"/>
    </row>
    <row r="23" spans="1:2" x14ac:dyDescent="0.25">
      <c r="A23" s="60"/>
      <c r="B23" s="66"/>
    </row>
    <row r="24" spans="1:2" ht="13" x14ac:dyDescent="0.25">
      <c r="A24" s="133" t="s">
        <v>157</v>
      </c>
      <c r="B24" s="134"/>
    </row>
    <row r="25" spans="1:2" x14ac:dyDescent="0.25">
      <c r="A25" s="60"/>
      <c r="B25" s="61"/>
    </row>
    <row r="26" spans="1:2" x14ac:dyDescent="0.25">
      <c r="A26" s="131" t="s">
        <v>158</v>
      </c>
      <c r="B26" s="132"/>
    </row>
    <row r="27" spans="1:2" x14ac:dyDescent="0.25">
      <c r="A27" s="60"/>
      <c r="B27" s="67"/>
    </row>
    <row r="28" spans="1:2" x14ac:dyDescent="0.25">
      <c r="A28" s="133" t="s">
        <v>159</v>
      </c>
      <c r="B28" s="134"/>
    </row>
    <row r="29" spans="1:2" x14ac:dyDescent="0.25">
      <c r="A29" s="60"/>
      <c r="B29" s="61"/>
    </row>
    <row r="30" spans="1:2" ht="12.65" customHeight="1" x14ac:dyDescent="0.25">
      <c r="A30" s="135" t="s">
        <v>181</v>
      </c>
      <c r="B30" s="136"/>
    </row>
    <row r="31" spans="1:2" ht="13" x14ac:dyDescent="0.25">
      <c r="A31" s="62" t="s">
        <v>164</v>
      </c>
      <c r="B31" s="63">
        <v>0</v>
      </c>
    </row>
    <row r="32" spans="1:2" ht="13" x14ac:dyDescent="0.25">
      <c r="A32" s="62" t="s">
        <v>165</v>
      </c>
      <c r="B32" s="63">
        <v>0</v>
      </c>
    </row>
    <row r="33" spans="1:2" ht="13" x14ac:dyDescent="0.25">
      <c r="A33" s="62" t="s">
        <v>166</v>
      </c>
      <c r="B33" s="63">
        <v>0</v>
      </c>
    </row>
    <row r="34" spans="1:2" ht="13" x14ac:dyDescent="0.25">
      <c r="A34" s="62" t="s">
        <v>167</v>
      </c>
      <c r="B34" s="63">
        <v>0</v>
      </c>
    </row>
    <row r="35" spans="1:2" ht="13" x14ac:dyDescent="0.25">
      <c r="A35" s="62" t="s">
        <v>168</v>
      </c>
      <c r="B35" s="63">
        <v>0</v>
      </c>
    </row>
    <row r="36" spans="1:2" ht="13" x14ac:dyDescent="0.25">
      <c r="A36" s="62" t="s">
        <v>169</v>
      </c>
      <c r="B36" s="63">
        <v>0</v>
      </c>
    </row>
    <row r="37" spans="1:2" ht="13" x14ac:dyDescent="0.25">
      <c r="A37" s="62" t="s">
        <v>170</v>
      </c>
      <c r="B37" s="63">
        <v>0</v>
      </c>
    </row>
    <row r="38" spans="1:2" ht="13" x14ac:dyDescent="0.25">
      <c r="A38" s="62" t="s">
        <v>171</v>
      </c>
      <c r="B38" s="63">
        <v>0</v>
      </c>
    </row>
    <row r="39" spans="1:2" ht="13" x14ac:dyDescent="0.25">
      <c r="A39" s="68"/>
      <c r="B39" s="69"/>
    </row>
  </sheetData>
  <mergeCells count="12">
    <mergeCell ref="A1:B1"/>
    <mergeCell ref="A3:B3"/>
    <mergeCell ref="A26:B26"/>
    <mergeCell ref="A28:B28"/>
    <mergeCell ref="A30:B30"/>
    <mergeCell ref="A14:B14"/>
    <mergeCell ref="A6:B6"/>
    <mergeCell ref="A10:B10"/>
    <mergeCell ref="A12:B12"/>
    <mergeCell ref="A22:B22"/>
    <mergeCell ref="A24:B24"/>
    <mergeCell ref="A8:B8"/>
  </mergeCells>
  <pageMargins left="0.7" right="0.7" top="0.75" bottom="0.75" header="0.3" footer="0.3"/>
  <pageSetup paperSize="9" orientation="portrait" verticalDpi="15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ommentaire xmlns="ca547a0d-6883-4367-bc5b-3f6154fdeb63" xsi:nil="true"/>
    <Etape xmlns="ca547a0d-6883-4367-bc5b-3f6154fdeb63" xsi:nil="true"/>
    <PPM xmlns="ca547a0d-6883-4367-bc5b-3f6154fdeb63" xsi:nil="true"/>
    <Version_x0020_souhait_x00e9_e xmlns="ca547a0d-6883-4367-bc5b-3f6154fdeb63" xsi:nil="true"/>
    <TaxCatchAll xmlns="2a59039a-72bf-486b-adaf-9ad1a21f45e8" xsi:nil="true"/>
    <lcf76f155ced4ddcb4097134ff3c332f xmlns="ca547a0d-6883-4367-bc5b-3f6154fdeb63">
      <Terms xmlns="http://schemas.microsoft.com/office/infopath/2007/PartnerControls"/>
    </lcf76f155ced4ddcb4097134ff3c332f>
    <PPM_x0020__x002f__x0020_QC xmlns="ca547a0d-6883-4367-bc5b-3f6154fdeb6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110EA274DF3AB4286C7DBFC9863130D" ma:contentTypeVersion="27" ma:contentTypeDescription="Crée un document." ma:contentTypeScope="" ma:versionID="f87e235081845a8232f066038ebdb3db">
  <xsd:schema xmlns:xsd="http://www.w3.org/2001/XMLSchema" xmlns:xs="http://www.w3.org/2001/XMLSchema" xmlns:p="http://schemas.microsoft.com/office/2006/metadata/properties" xmlns:ns2="ca547a0d-6883-4367-bc5b-3f6154fdeb63" xmlns:ns3="2a59039a-72bf-486b-adaf-9ad1a21f45e8" targetNamespace="http://schemas.microsoft.com/office/2006/metadata/properties" ma:root="true" ma:fieldsID="fff018fadd98ba2f6274baab09e4eecd" ns2:_="" ns3:_="">
    <xsd:import namespace="ca547a0d-6883-4367-bc5b-3f6154fdeb63"/>
    <xsd:import namespace="2a59039a-72bf-486b-adaf-9ad1a21f45e8"/>
    <xsd:element name="properties">
      <xsd:complexType>
        <xsd:sequence>
          <xsd:element name="documentManagement">
            <xsd:complexType>
              <xsd:all>
                <xsd:element ref="ns2:MediaServiceMetadata" minOccurs="0"/>
                <xsd:element ref="ns2:MediaServiceFastMetadata" minOccurs="0"/>
                <xsd:element ref="ns2:Version_x0020_souhait_x00e9_e" minOccurs="0"/>
                <xsd:element ref="ns3:SharedWithUsers" minOccurs="0"/>
                <xsd:element ref="ns3:SharedWithDetails" minOccurs="0"/>
                <xsd:element ref="ns2:MediaServiceDateTaken" minOccurs="0"/>
                <xsd:element ref="ns2:Commentaire" minOccurs="0"/>
                <xsd:element ref="ns2:PPM_x0020__x002f__x0020_QC" minOccurs="0"/>
                <xsd:element ref="ns2:Etape" minOccurs="0"/>
                <xsd:element ref="ns2:PPM"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547a0d-6883-4367-bc5b-3f6154fdeb63" elementFormDefault="qualified">
    <xsd:import namespace="http://schemas.microsoft.com/office/2006/documentManagement/types"/>
    <xsd:import namespace="http://schemas.microsoft.com/office/infopath/2007/PartnerControls"/>
    <xsd:element name="MediaServiceMetadata" ma:index="4" nillable="true" ma:displayName="MediaServiceMetadata" ma:hidden="true" ma:internalName="MediaServiceMetadata" ma:readOnly="true">
      <xsd:simpleType>
        <xsd:restriction base="dms:Note"/>
      </xsd:simpleType>
    </xsd:element>
    <xsd:element name="MediaServiceFastMetadata" ma:index="5" nillable="true" ma:displayName="MediaServiceFastMetadata" ma:hidden="true" ma:internalName="MediaServiceFastMetadata" ma:readOnly="true">
      <xsd:simpleType>
        <xsd:restriction base="dms:Note"/>
      </xsd:simpleType>
    </xsd:element>
    <xsd:element name="Version_x0020_souhait_x00e9_e" ma:index="6" nillable="true" ma:displayName="Version souhaitée" ma:internalName="Version_x0020_souhait_x00e9_e" ma:readOnly="false">
      <xsd:simpleType>
        <xsd:restriction base="dms:Text">
          <xsd:maxLength value="255"/>
        </xsd:restriction>
      </xsd:simpleType>
    </xsd:element>
    <xsd:element name="MediaServiceDateTaken" ma:index="9" nillable="true" ma:displayName="MediaServiceDateTaken" ma:hidden="true" ma:internalName="MediaServiceDateTaken" ma:readOnly="true">
      <xsd:simpleType>
        <xsd:restriction base="dms:Text"/>
      </xsd:simpleType>
    </xsd:element>
    <xsd:element name="Commentaire" ma:index="10" nillable="true" ma:displayName="Commentaire" ma:internalName="Commentaire" ma:readOnly="false">
      <xsd:simpleType>
        <xsd:restriction base="dms:Text">
          <xsd:maxLength value="255"/>
        </xsd:restriction>
      </xsd:simpleType>
    </xsd:element>
    <xsd:element name="PPM_x0020__x002f__x0020_QC" ma:index="11" nillable="true" ma:displayName="PPM / QC" ma:internalName="PPM_x0020__x002f__x0020_QC" ma:readOnly="false">
      <xsd:simpleType>
        <xsd:restriction base="dms:Text">
          <xsd:maxLength value="255"/>
        </xsd:restriction>
      </xsd:simpleType>
    </xsd:element>
    <xsd:element name="Etape" ma:index="12" nillable="true" ma:displayName="Etape" ma:internalName="Etape" ma:readOnly="false">
      <xsd:simpleType>
        <xsd:restriction base="dms:Text">
          <xsd:maxLength value="255"/>
        </xsd:restriction>
      </xsd:simpleType>
    </xsd:element>
    <xsd:element name="PPM" ma:index="13" nillable="true" ma:displayName="PPM" ma:internalName="PPM" ma:readOnly="false">
      <xsd:simpleType>
        <xsd:restriction base="dms:Text">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ff804446-778a-44e9-9973-97875d116571"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a59039a-72bf-486b-adaf-9ad1a21f45e8" elementFormDefault="qualified">
    <xsd:import namespace="http://schemas.microsoft.com/office/2006/documentManagement/types"/>
    <xsd:import namespace="http://schemas.microsoft.com/office/infopath/2007/PartnerControls"/>
    <xsd:element name="SharedWithUsers" ma:index="7"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8"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39676c72-466b-4ba5-a41c-07376da04578}" ma:internalName="TaxCatchAll" ma:showField="CatchAllData" ma:web="2a59039a-72bf-486b-adaf-9ad1a21f45e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5" ma:displayName="Type de contenu"/>
        <xsd:element ref="dc:title" minOccurs="0" maxOccurs="1" ma:index="3"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9181CC-44A7-41F0-9553-431F084B8EF8}">
  <ds:schemaRefs>
    <ds:schemaRef ds:uri="http://schemas.microsoft.com/sharepoint/v3/contenttype/forms"/>
  </ds:schemaRefs>
</ds:datastoreItem>
</file>

<file path=customXml/itemProps2.xml><?xml version="1.0" encoding="utf-8"?>
<ds:datastoreItem xmlns:ds="http://schemas.openxmlformats.org/officeDocument/2006/customXml" ds:itemID="{35CAB096-92C8-4CE4-B64C-98EF3B50DD1D}">
  <ds:schemaRefs>
    <ds:schemaRef ds:uri="http://schemas.microsoft.com/office/2006/documentManagement/types"/>
    <ds:schemaRef ds:uri="http://www.w3.org/XML/1998/namespace"/>
    <ds:schemaRef ds:uri="http://purl.org/dc/terms/"/>
    <ds:schemaRef ds:uri="http://purl.org/dc/elements/1.1/"/>
    <ds:schemaRef ds:uri="http://schemas.openxmlformats.org/package/2006/metadata/core-properties"/>
    <ds:schemaRef ds:uri="http://schemas.microsoft.com/office/2006/metadata/properties"/>
    <ds:schemaRef ds:uri="http://schemas.microsoft.com/office/infopath/2007/PartnerControls"/>
    <ds:schemaRef ds:uri="2a59039a-72bf-486b-adaf-9ad1a21f45e8"/>
    <ds:schemaRef ds:uri="ca547a0d-6883-4367-bc5b-3f6154fdeb63"/>
    <ds:schemaRef ds:uri="http://purl.org/dc/dcmitype/"/>
  </ds:schemaRefs>
</ds:datastoreItem>
</file>

<file path=customXml/itemProps3.xml><?xml version="1.0" encoding="utf-8"?>
<ds:datastoreItem xmlns:ds="http://schemas.openxmlformats.org/officeDocument/2006/customXml" ds:itemID="{6281FFD9-9750-4441-89CE-CB768CDF22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547a0d-6883-4367-bc5b-3f6154fdeb63"/>
    <ds:schemaRef ds:uri="2a59039a-72bf-486b-adaf-9ad1a21f45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1</vt:i4>
      </vt:variant>
    </vt:vector>
  </HeadingPairs>
  <TitlesOfParts>
    <vt:vector size="10" baseType="lpstr">
      <vt:lpstr>Notice d'utilisation</vt:lpstr>
      <vt:lpstr>Profils</vt:lpstr>
      <vt:lpstr>Ajustement climatique</vt:lpstr>
      <vt:lpstr>Stations météo-zones climat.</vt:lpstr>
      <vt:lpstr>T° de référence avr26 mars27</vt:lpstr>
      <vt:lpstr>T° de référence générales</vt:lpstr>
      <vt:lpstr>Coefficients Tcc</vt:lpstr>
      <vt:lpstr>Correction de Part Hiver</vt:lpstr>
      <vt:lpstr>Évolution des CAR</vt:lpstr>
      <vt:lpstr>'Évolution des CAR'!_ftnref1</vt:lpstr>
    </vt:vector>
  </TitlesOfParts>
  <Manager/>
  <Company>EDF - Gaz de France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jodar-fle</dc:creator>
  <cp:keywords/>
  <dc:description/>
  <cp:lastModifiedBy>MORCEL Alexandre (GRDF)</cp:lastModifiedBy>
  <cp:revision/>
  <dcterms:created xsi:type="dcterms:W3CDTF">2005-09-30T12:00:29Z</dcterms:created>
  <dcterms:modified xsi:type="dcterms:W3CDTF">2026-01-21T13:49:43Z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0x0101004110EA274DF3AB4286C7DBFC9863130D</vt:lpwstr>
  </property>
  <property fmtid="{D5CDD505-2E9C-101B-9397-08002B2CF9AE}" pid="3" name="MediaServiceImageTags">
    <vt:lpwstr/>
  </property>
</Properties>
</file>